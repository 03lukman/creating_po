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ukman\MAGANGHUB\po\"/>
    </mc:Choice>
  </mc:AlternateContent>
  <xr:revisionPtr revIDLastSave="0" documentId="13_ncr:1_{85DF7582-6C24-48B5-A4E2-7B25C04B2ACB}" xr6:coauthVersionLast="36" xr6:coauthVersionMax="36" xr10:uidLastSave="{00000000-0000-0000-0000-000000000000}"/>
  <bookViews>
    <workbookView xWindow="0" yWindow="0" windowWidth="18465" windowHeight="8130" firstSheet="1" activeTab="2" xr2:uid="{7B34903A-2D9E-4F63-B483-CBDD2EEAF1A7}"/>
  </bookViews>
  <sheets>
    <sheet name="SBY" sheetId="4" state="hidden" r:id="rId1"/>
    <sheet name="LIST BARANG" sheetId="3" r:id="rId2"/>
    <sheet name="Sheet1" sheetId="7" r:id="rId3"/>
    <sheet name="PRINT BUAT KA FINA" sheetId="6" state="hidden" r:id="rId4"/>
    <sheet name="LIST BARANG (NEW)" sheetId="5" state="hidden" r:id="rId5"/>
  </sheets>
  <definedNames>
    <definedName name="_xlnm._FilterDatabase" localSheetId="1" hidden="1">'LIST BARANG'!$B$3:$N$426</definedName>
    <definedName name="_xlnm._FilterDatabase" localSheetId="4" hidden="1">'LIST BARANG (NEW)'!$B$3:$O$418</definedName>
    <definedName name="_xlnm._FilterDatabase" localSheetId="3" hidden="1">'PRINT BUAT KA FINA'!$B$3:$F$419</definedName>
    <definedName name="_xlnm._FilterDatabase" localSheetId="0" hidden="1">SBY!$B$3:$N$375</definedName>
    <definedName name="_xlnm.Print_Area" localSheetId="0">SBY!$B$3:$N$375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52" i="7" l="1"/>
  <c r="E64" i="6" l="1"/>
  <c r="E63" i="6"/>
  <c r="E62" i="6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48" i="6"/>
  <c r="E47" i="6"/>
  <c r="E46" i="6"/>
  <c r="E45" i="6"/>
  <c r="E44" i="6"/>
  <c r="E43" i="6"/>
  <c r="I363" i="4" l="1"/>
  <c r="G146" i="4"/>
  <c r="G145" i="4"/>
  <c r="E144" i="4"/>
  <c r="I372" i="3" l="1"/>
  <c r="G154" i="3"/>
  <c r="G153" i="3"/>
  <c r="E152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Lisbet I. Simatupang</author>
  </authors>
  <commentList>
    <comment ref="E120" authorId="0" shapeId="0" xr:uid="{F45E99FB-05A3-475B-965B-875D9E636740}">
      <text>
        <r>
          <rPr>
            <b/>
            <sz val="9"/>
            <color indexed="81"/>
            <rFont val="Tahoma"/>
            <family val="2"/>
          </rPr>
          <t>Lisbet I. Simatupang:</t>
        </r>
        <r>
          <rPr>
            <sz val="9"/>
            <color indexed="81"/>
            <rFont val="Tahoma"/>
            <family val="2"/>
          </rPr>
          <t xml:space="preserve">
HARGA LAMA</t>
        </r>
      </text>
    </comment>
    <comment ref="E145" authorId="0" shapeId="0" xr:uid="{49D709CA-9E68-4F1A-B187-8AA682F1094D}">
      <text>
        <r>
          <rPr>
            <b/>
            <sz val="9"/>
            <color indexed="81"/>
            <rFont val="Tahoma"/>
            <family val="2"/>
          </rPr>
          <t>Lisbet I. Simatupang:</t>
        </r>
        <r>
          <rPr>
            <sz val="9"/>
            <color indexed="81"/>
            <rFont val="Tahoma"/>
            <family val="2"/>
          </rPr>
          <t xml:space="preserve">
HARGA PER SEPT 2023 DARI PAK FERDI
</t>
        </r>
      </text>
    </comment>
    <comment ref="G145" authorId="0" shapeId="0" xr:uid="{4270319F-46E7-4419-A2B9-748813C6A9BF}">
      <text>
        <r>
          <rPr>
            <b/>
            <sz val="9"/>
            <color indexed="81"/>
            <rFont val="Tahoma"/>
            <family val="2"/>
          </rPr>
          <t>Lisbet I. Simatupang:</t>
        </r>
        <r>
          <rPr>
            <sz val="9"/>
            <color indexed="81"/>
            <rFont val="Tahoma"/>
            <family val="2"/>
          </rPr>
          <t xml:space="preserve">
HARGA PER OKTOBER DARI LIST HARGA BU FIFI</t>
        </r>
      </text>
    </comment>
    <comment ref="E146" authorId="0" shapeId="0" xr:uid="{81ACFBDC-7078-4CD9-AE42-2851C9CB540B}">
      <text>
        <r>
          <rPr>
            <b/>
            <sz val="9"/>
            <color indexed="81"/>
            <rFont val="Tahoma"/>
            <family val="2"/>
          </rPr>
          <t>Lisbet I. Simatupang:</t>
        </r>
        <r>
          <rPr>
            <sz val="9"/>
            <color indexed="81"/>
            <rFont val="Tahoma"/>
            <family val="2"/>
          </rPr>
          <t xml:space="preserve">
HARGA PER SEPT 2023 DARI PAK FERDI</t>
        </r>
      </text>
    </comment>
    <comment ref="G146" authorId="0" shapeId="0" xr:uid="{FDCF68EB-96E2-45E8-846D-FFF9345B4784}">
      <text>
        <r>
          <rPr>
            <b/>
            <sz val="9"/>
            <color indexed="81"/>
            <rFont val="Tahoma"/>
            <family val="2"/>
          </rPr>
          <t>Lisbet I. Simatupang:</t>
        </r>
        <r>
          <rPr>
            <sz val="9"/>
            <color indexed="81"/>
            <rFont val="Tahoma"/>
            <family val="2"/>
          </rPr>
          <t xml:space="preserve">
HARGA OKTOBER DARI LIST HARGA BU FIFI</t>
        </r>
      </text>
    </comment>
    <comment ref="E214" authorId="0" shapeId="0" xr:uid="{FE308058-21C5-4F6F-AC3F-926E6757AFCD}">
      <text>
        <r>
          <rPr>
            <b/>
            <sz val="9"/>
            <color indexed="81"/>
            <rFont val="Tahoma"/>
            <family val="2"/>
          </rPr>
          <t>Lisbet I. Simatupang:</t>
        </r>
        <r>
          <rPr>
            <sz val="9"/>
            <color indexed="81"/>
            <rFont val="Tahoma"/>
            <family val="2"/>
          </rPr>
          <t xml:space="preserve">
PAKE HARGA KOANSONG KUNING, KARENA JENIS KERTAS NYA BEDA
</t>
        </r>
      </text>
    </comment>
    <comment ref="G240" authorId="0" shapeId="0" xr:uid="{414C6EA4-1934-4E48-9C4E-74339214B9E3}">
      <text>
        <r>
          <rPr>
            <b/>
            <sz val="9"/>
            <color indexed="81"/>
            <rFont val="Tahoma"/>
            <family val="2"/>
          </rPr>
          <t>Lisbet I. Simatupang:</t>
        </r>
        <r>
          <rPr>
            <sz val="9"/>
            <color indexed="81"/>
            <rFont val="Tahoma"/>
            <family val="2"/>
          </rPr>
          <t xml:space="preserve">
BARU ADA KELUAR DARI TOKO NASHUA</t>
        </r>
      </text>
    </comment>
    <comment ref="E336" authorId="0" shapeId="0" xr:uid="{D453D6D2-A616-4D76-8A9B-7A06BCC73FE0}">
      <text>
        <r>
          <rPr>
            <b/>
            <sz val="9"/>
            <color indexed="81"/>
            <rFont val="Tahoma"/>
            <family val="2"/>
          </rPr>
          <t>Lisbet I. Simatupang:</t>
        </r>
        <r>
          <rPr>
            <sz val="9"/>
            <color indexed="81"/>
            <rFont val="Tahoma"/>
            <family val="2"/>
          </rPr>
          <t xml:space="preserve">
HITUNGAN HARGA NYA DARI NASHUA TOP ONE CLOTH TAPE HITAM 46MM X 10M</t>
        </r>
      </text>
    </comment>
    <comment ref="G363" authorId="0" shapeId="0" xr:uid="{BFAEA008-9454-47A2-A04A-116718586E4E}">
      <text>
        <r>
          <rPr>
            <b/>
            <sz val="9"/>
            <color indexed="81"/>
            <rFont val="Tahoma"/>
            <family val="2"/>
          </rPr>
          <t>Lisbet I. Simatupang:</t>
        </r>
        <r>
          <rPr>
            <sz val="9"/>
            <color indexed="81"/>
            <rFont val="Tahoma"/>
            <family val="2"/>
          </rPr>
          <t xml:space="preserve">
PERUBAHAN HARGA 31 JULI 2023</t>
        </r>
      </text>
    </comment>
    <comment ref="I363" authorId="0" shapeId="0" xr:uid="{28092377-B445-42AD-AE87-8072B4CD866F}">
      <text>
        <r>
          <rPr>
            <b/>
            <sz val="9"/>
            <color indexed="81"/>
            <rFont val="Tahoma"/>
            <family val="2"/>
          </rPr>
          <t>Lisbet I. Simatupang:</t>
        </r>
        <r>
          <rPr>
            <sz val="9"/>
            <color indexed="81"/>
            <rFont val="Tahoma"/>
            <family val="2"/>
          </rPr>
          <t xml:space="preserve">
HARGA UPDATE 17/10/2023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Afifah Amaliasari</author>
    <author>Lisbet I. Simatupang</author>
  </authors>
  <commentList>
    <comment ref="F30" authorId="0" shapeId="0" xr:uid="{A1BB7D84-BB46-47E0-939A-9B3EBEFF7C26}">
      <text>
        <r>
          <rPr>
            <b/>
            <sz val="9"/>
            <color indexed="81"/>
            <rFont val="Tahoma"/>
            <family val="2"/>
          </rPr>
          <t>Afifah Amaliasari:</t>
        </r>
        <r>
          <rPr>
            <sz val="9"/>
            <color indexed="81"/>
            <rFont val="Tahoma"/>
            <family val="2"/>
          </rPr>
          <t xml:space="preserve">
DARI PAK FERDI</t>
        </r>
      </text>
    </comment>
    <comment ref="F31" authorId="0" shapeId="0" xr:uid="{5C159D77-C48E-487D-9403-FEFB47D65BED}">
      <text>
        <r>
          <rPr>
            <b/>
            <sz val="9"/>
            <color indexed="81"/>
            <rFont val="Tahoma"/>
            <family val="2"/>
          </rPr>
          <t>Afifah Amaliasari:</t>
        </r>
        <r>
          <rPr>
            <sz val="9"/>
            <color indexed="81"/>
            <rFont val="Tahoma"/>
            <family val="2"/>
          </rPr>
          <t xml:space="preserve">
DARI PAK FERDI</t>
        </r>
      </text>
    </comment>
    <comment ref="F73" authorId="0" shapeId="0" xr:uid="{001B4220-C888-471B-B157-F8D596165379}">
      <text>
        <r>
          <rPr>
            <b/>
            <sz val="9"/>
            <color indexed="81"/>
            <rFont val="Tahoma"/>
            <family val="2"/>
          </rPr>
          <t>Afifah Amaliasari:</t>
        </r>
        <r>
          <rPr>
            <sz val="9"/>
            <color indexed="81"/>
            <rFont val="Tahoma"/>
            <family val="2"/>
          </rPr>
          <t xml:space="preserve">
DARI PAK FERDI</t>
        </r>
      </text>
    </comment>
    <comment ref="F74" authorId="0" shapeId="0" xr:uid="{FE67B930-97AC-4DAD-B249-D738F402C85B}">
      <text>
        <r>
          <rPr>
            <b/>
            <sz val="9"/>
            <color indexed="81"/>
            <rFont val="Tahoma"/>
            <family val="2"/>
          </rPr>
          <t>Afifah Amaliasari:</t>
        </r>
        <r>
          <rPr>
            <sz val="9"/>
            <color indexed="81"/>
            <rFont val="Tahoma"/>
            <family val="2"/>
          </rPr>
          <t xml:space="preserve">
DARI PAK FERDI</t>
        </r>
      </text>
    </comment>
    <comment ref="F75" authorId="0" shapeId="0" xr:uid="{8024F10B-74D4-421D-9AB0-4D93A5644237}">
      <text>
        <r>
          <rPr>
            <b/>
            <sz val="9"/>
            <color indexed="81"/>
            <rFont val="Tahoma"/>
            <family val="2"/>
          </rPr>
          <t>Afifah Amaliasari:</t>
        </r>
        <r>
          <rPr>
            <sz val="9"/>
            <color indexed="81"/>
            <rFont val="Tahoma"/>
            <family val="2"/>
          </rPr>
          <t xml:space="preserve">
DARI PAK FERDI</t>
        </r>
      </text>
    </comment>
    <comment ref="F76" authorId="0" shapeId="0" xr:uid="{80075426-CE55-4103-A813-2E8646AF3AFD}">
      <text>
        <r>
          <rPr>
            <b/>
            <sz val="9"/>
            <color indexed="81"/>
            <rFont val="Tahoma"/>
            <family val="2"/>
          </rPr>
          <t>Afifah Amaliasari:</t>
        </r>
        <r>
          <rPr>
            <sz val="9"/>
            <color indexed="81"/>
            <rFont val="Tahoma"/>
            <family val="2"/>
          </rPr>
          <t xml:space="preserve">
DARI PAK FERDI</t>
        </r>
      </text>
    </comment>
    <comment ref="F77" authorId="0" shapeId="0" xr:uid="{85CEEFD9-1005-49D6-AF7F-37D2AC819E8C}">
      <text>
        <r>
          <rPr>
            <b/>
            <sz val="9"/>
            <color indexed="81"/>
            <rFont val="Tahoma"/>
            <family val="2"/>
          </rPr>
          <t>Afifah Amaliasari:</t>
        </r>
        <r>
          <rPr>
            <sz val="9"/>
            <color indexed="81"/>
            <rFont val="Tahoma"/>
            <family val="2"/>
          </rPr>
          <t xml:space="preserve">
DARI PAK FERDI</t>
        </r>
      </text>
    </comment>
    <comment ref="F78" authorId="0" shapeId="0" xr:uid="{47EE665A-0020-4E4D-9F94-0353BED379DD}">
      <text>
        <r>
          <rPr>
            <b/>
            <sz val="9"/>
            <color indexed="81"/>
            <rFont val="Tahoma"/>
            <family val="2"/>
          </rPr>
          <t>Afifah Amaliasari:</t>
        </r>
        <r>
          <rPr>
            <sz val="9"/>
            <color indexed="81"/>
            <rFont val="Tahoma"/>
            <family val="2"/>
          </rPr>
          <t xml:space="preserve">
DARI PAK FERDI</t>
        </r>
      </text>
    </comment>
    <comment ref="F79" authorId="0" shapeId="0" xr:uid="{9D0DB384-CDB7-49E6-94AF-15396A1F75F9}">
      <text>
        <r>
          <rPr>
            <b/>
            <sz val="9"/>
            <color indexed="81"/>
            <rFont val="Tahoma"/>
            <family val="2"/>
          </rPr>
          <t>Afifah Amaliasari:</t>
        </r>
        <r>
          <rPr>
            <sz val="9"/>
            <color indexed="81"/>
            <rFont val="Tahoma"/>
            <family val="2"/>
          </rPr>
          <t xml:space="preserve">
DARI PAK FERDI</t>
        </r>
      </text>
    </comment>
    <comment ref="F82" authorId="0" shapeId="0" xr:uid="{AC13884B-D1DA-47BF-BA89-F58A0D26840B}">
      <text>
        <r>
          <rPr>
            <b/>
            <sz val="9"/>
            <color indexed="81"/>
            <rFont val="Tahoma"/>
            <family val="2"/>
          </rPr>
          <t>Afifah Amaliasari:</t>
        </r>
        <r>
          <rPr>
            <sz val="9"/>
            <color indexed="81"/>
            <rFont val="Tahoma"/>
            <family val="2"/>
          </rPr>
          <t xml:space="preserve">
DARI PAK FERDI</t>
        </r>
      </text>
    </comment>
    <comment ref="D118" authorId="0" shapeId="0" xr:uid="{D6C26D2C-FA5A-4D84-94AA-5E1EC92DD291}">
      <text>
        <r>
          <rPr>
            <b/>
            <sz val="9"/>
            <color indexed="81"/>
            <rFont val="Tahoma"/>
            <family val="2"/>
          </rPr>
          <t>Afifah Amaliasari:</t>
        </r>
        <r>
          <rPr>
            <sz val="9"/>
            <color indexed="81"/>
            <rFont val="Tahoma"/>
            <family val="2"/>
          </rPr>
          <t xml:space="preserve">
DULU CLEAR TAPI SKRG PAKAI CLEAR WHITE UDAH KONFIRMASI SAMA BU ELA PER 28/11/25</t>
        </r>
      </text>
    </comment>
    <comment ref="E128" authorId="1" shapeId="0" xr:uid="{8BFBDBC1-699C-4C1A-865B-2790BCD034F8}">
      <text>
        <r>
          <rPr>
            <b/>
            <sz val="9"/>
            <color indexed="81"/>
            <rFont val="Tahoma"/>
            <family val="2"/>
          </rPr>
          <t>Lisbet I. Simatupang:</t>
        </r>
        <r>
          <rPr>
            <sz val="9"/>
            <color indexed="81"/>
            <rFont val="Tahoma"/>
            <family val="2"/>
          </rPr>
          <t xml:space="preserve">
HARGA LAMA</t>
        </r>
      </text>
    </comment>
    <comment ref="E153" authorId="1" shapeId="0" xr:uid="{EC5A9E18-2EC7-4CF4-BC56-F24ABF67C300}">
      <text>
        <r>
          <rPr>
            <b/>
            <sz val="9"/>
            <color indexed="81"/>
            <rFont val="Tahoma"/>
            <family val="2"/>
          </rPr>
          <t>Lisbet I. Simatupang:</t>
        </r>
        <r>
          <rPr>
            <sz val="9"/>
            <color indexed="81"/>
            <rFont val="Tahoma"/>
            <family val="2"/>
          </rPr>
          <t xml:space="preserve">
HARGA PER SEPT 2023 DARI PAK FERDI
</t>
        </r>
      </text>
    </comment>
    <comment ref="G153" authorId="1" shapeId="0" xr:uid="{42626C44-F2A4-46C2-9402-7368A866F0C7}">
      <text>
        <r>
          <rPr>
            <b/>
            <sz val="9"/>
            <color indexed="81"/>
            <rFont val="Tahoma"/>
            <family val="2"/>
          </rPr>
          <t>Lisbet I. Simatupang:</t>
        </r>
        <r>
          <rPr>
            <sz val="9"/>
            <color indexed="81"/>
            <rFont val="Tahoma"/>
            <family val="2"/>
          </rPr>
          <t xml:space="preserve">
HARGA PER OKTOBER DARI LIST HARGA BU FIFI</t>
        </r>
      </text>
    </comment>
    <comment ref="E154" authorId="1" shapeId="0" xr:uid="{038FA421-2965-4BBC-A68F-B11B47C54E4D}">
      <text>
        <r>
          <rPr>
            <b/>
            <sz val="9"/>
            <color indexed="81"/>
            <rFont val="Tahoma"/>
            <family val="2"/>
          </rPr>
          <t>Lisbet I. Simatupang:</t>
        </r>
        <r>
          <rPr>
            <sz val="9"/>
            <color indexed="81"/>
            <rFont val="Tahoma"/>
            <family val="2"/>
          </rPr>
          <t xml:space="preserve">
HARGA PER SEPT 2023 DARI PAK FERDI</t>
        </r>
      </text>
    </comment>
    <comment ref="G154" authorId="1" shapeId="0" xr:uid="{DD44620D-E0B5-43A3-84EF-8883C80A0282}">
      <text>
        <r>
          <rPr>
            <b/>
            <sz val="9"/>
            <color indexed="81"/>
            <rFont val="Tahoma"/>
            <family val="2"/>
          </rPr>
          <t>Lisbet I. Simatupang:</t>
        </r>
        <r>
          <rPr>
            <sz val="9"/>
            <color indexed="81"/>
            <rFont val="Tahoma"/>
            <family val="2"/>
          </rPr>
          <t xml:space="preserve">
HARGA OKTOBER DARI LIST HARGA BU FIFI</t>
        </r>
      </text>
    </comment>
    <comment ref="F181" authorId="0" shapeId="0" xr:uid="{70B9D616-3A9E-4BB1-A16A-E57AD2D01828}">
      <text>
        <r>
          <rPr>
            <b/>
            <sz val="9"/>
            <color indexed="81"/>
            <rFont val="Tahoma"/>
            <family val="2"/>
          </rPr>
          <t>Afifah Amaliasari:</t>
        </r>
        <r>
          <rPr>
            <sz val="9"/>
            <color indexed="81"/>
            <rFont val="Tahoma"/>
            <family val="2"/>
          </rPr>
          <t xml:space="preserve">
DARI PAK FERDI</t>
        </r>
      </text>
    </comment>
    <comment ref="E223" authorId="1" shapeId="0" xr:uid="{2103845E-08C3-40C3-AEA6-48E86AB45ABF}">
      <text>
        <r>
          <rPr>
            <b/>
            <sz val="9"/>
            <color indexed="81"/>
            <rFont val="Tahoma"/>
            <family val="2"/>
          </rPr>
          <t>Lisbet I. Simatupang:</t>
        </r>
        <r>
          <rPr>
            <sz val="9"/>
            <color indexed="81"/>
            <rFont val="Tahoma"/>
            <family val="2"/>
          </rPr>
          <t xml:space="preserve">
PAKE HARGA KOANSONG KUNING, KARENA JENIS KERTAS NYA BEDA
</t>
        </r>
      </text>
    </comment>
    <comment ref="G249" authorId="1" shapeId="0" xr:uid="{38E523AA-BD02-43DF-B3D5-B299D62AB5EA}">
      <text>
        <r>
          <rPr>
            <b/>
            <sz val="9"/>
            <color indexed="81"/>
            <rFont val="Tahoma"/>
            <family val="2"/>
          </rPr>
          <t>Lisbet I. Simatupang:</t>
        </r>
        <r>
          <rPr>
            <sz val="9"/>
            <color indexed="81"/>
            <rFont val="Tahoma"/>
            <family val="2"/>
          </rPr>
          <t xml:space="preserve">
BARU ADA KELUAR DARI TOKO NASHUA</t>
        </r>
      </text>
    </comment>
    <comment ref="D276" authorId="0" shapeId="0" xr:uid="{2A51D4D6-D0C3-4507-B1E8-EC66670B90A9}">
      <text>
        <r>
          <rPr>
            <b/>
            <sz val="9"/>
            <color indexed="81"/>
            <rFont val="Tahoma"/>
            <family val="2"/>
          </rPr>
          <t>Afifah Amaliasari:</t>
        </r>
        <r>
          <rPr>
            <sz val="9"/>
            <color indexed="81"/>
            <rFont val="Tahoma"/>
            <family val="2"/>
          </rPr>
          <t xml:space="preserve">
SANSUI ( C ) OPP TAPE CLEAR 2" X 72Y (DULU)
UDAH KONFIRMASI BU ELA DAN BU ELA BARU DI INFORMASI KEMARIN AMA PAK IFAN 
TGL KONFIRMASI (01-12-25)</t>
        </r>
      </text>
    </comment>
    <comment ref="E345" authorId="1" shapeId="0" xr:uid="{4441B596-8F4A-44E7-BFC6-9740707A8F07}">
      <text>
        <r>
          <rPr>
            <b/>
            <sz val="9"/>
            <color indexed="81"/>
            <rFont val="Tahoma"/>
            <family val="2"/>
          </rPr>
          <t>Lisbet I. Simatupang:</t>
        </r>
        <r>
          <rPr>
            <sz val="9"/>
            <color indexed="81"/>
            <rFont val="Tahoma"/>
            <family val="2"/>
          </rPr>
          <t xml:space="preserve">
HITUNGAN HARGA NYA DARI NASHUA TOP ONE CLOTH TAPE HITAM 46MM X 10M</t>
        </r>
      </text>
    </comment>
    <comment ref="G372" authorId="1" shapeId="0" xr:uid="{5A006ED2-0A4D-4063-B4B5-482BFFD2381D}">
      <text>
        <r>
          <rPr>
            <b/>
            <sz val="9"/>
            <color indexed="81"/>
            <rFont val="Tahoma"/>
            <family val="2"/>
          </rPr>
          <t>Lisbet I. Simatupang:</t>
        </r>
        <r>
          <rPr>
            <sz val="9"/>
            <color indexed="81"/>
            <rFont val="Tahoma"/>
            <family val="2"/>
          </rPr>
          <t xml:space="preserve">
PERUBAHAN HARGA 31 JULI 2023</t>
        </r>
      </text>
    </comment>
    <comment ref="I372" authorId="1" shapeId="0" xr:uid="{5F586AA8-5CC3-4B5B-8CC9-3DDB1C1776C4}">
      <text>
        <r>
          <rPr>
            <b/>
            <sz val="9"/>
            <color indexed="81"/>
            <rFont val="Tahoma"/>
            <family val="2"/>
          </rPr>
          <t>Lisbet I. Simatupang:</t>
        </r>
        <r>
          <rPr>
            <sz val="9"/>
            <color indexed="81"/>
            <rFont val="Tahoma"/>
            <family val="2"/>
          </rPr>
          <t xml:space="preserve">
HARGA UPDATE 17/10/2023</t>
        </r>
      </text>
    </comment>
    <comment ref="F385" authorId="0" shapeId="0" xr:uid="{95B9F3F1-A651-4BFE-A1D0-79BF6C77A18D}">
      <text>
        <r>
          <rPr>
            <b/>
            <sz val="9"/>
            <color indexed="81"/>
            <rFont val="Tahoma"/>
            <family val="2"/>
          </rPr>
          <t>Afifah Amaliasari:</t>
        </r>
        <r>
          <rPr>
            <sz val="9"/>
            <color indexed="81"/>
            <rFont val="Tahoma"/>
            <family val="2"/>
          </rPr>
          <t xml:space="preserve">
DARI PAK FERDI</t>
        </r>
      </text>
    </comment>
    <comment ref="F386" authorId="0" shapeId="0" xr:uid="{64BFD9BC-429B-4D75-A529-E53B19D0A986}">
      <text>
        <r>
          <rPr>
            <b/>
            <sz val="9"/>
            <color indexed="81"/>
            <rFont val="Tahoma"/>
            <family val="2"/>
          </rPr>
          <t>Afifah Amaliasari:</t>
        </r>
        <r>
          <rPr>
            <sz val="9"/>
            <color indexed="81"/>
            <rFont val="Tahoma"/>
            <family val="2"/>
          </rPr>
          <t xml:space="preserve">
DARI PAK FERDI</t>
        </r>
      </text>
    </comment>
    <comment ref="F387" authorId="0" shapeId="0" xr:uid="{5E408CB9-7375-4180-8D56-EC48A8D99959}">
      <text>
        <r>
          <rPr>
            <b/>
            <sz val="9"/>
            <color indexed="81"/>
            <rFont val="Tahoma"/>
            <family val="2"/>
          </rPr>
          <t>Afifah Amaliasari:</t>
        </r>
        <r>
          <rPr>
            <sz val="9"/>
            <color indexed="81"/>
            <rFont val="Tahoma"/>
            <family val="2"/>
          </rPr>
          <t xml:space="preserve">
DARI PAK FERDI</t>
        </r>
      </text>
    </comment>
    <comment ref="F388" authorId="0" shapeId="0" xr:uid="{67A64700-DE40-431E-86FB-3F65281F2FD1}">
      <text>
        <r>
          <rPr>
            <b/>
            <sz val="9"/>
            <color indexed="81"/>
            <rFont val="Tahoma"/>
            <family val="2"/>
          </rPr>
          <t>Afifah Amaliasari:</t>
        </r>
        <r>
          <rPr>
            <sz val="9"/>
            <color indexed="81"/>
            <rFont val="Tahoma"/>
            <family val="2"/>
          </rPr>
          <t xml:space="preserve">
DARI PAK FERDI</t>
        </r>
      </text>
    </comment>
    <comment ref="F389" authorId="0" shapeId="0" xr:uid="{CD302B59-7472-4993-A8BB-31CBCC6D297E}">
      <text>
        <r>
          <rPr>
            <b/>
            <sz val="9"/>
            <color indexed="81"/>
            <rFont val="Tahoma"/>
            <family val="2"/>
          </rPr>
          <t>Afifah Amaliasari:</t>
        </r>
        <r>
          <rPr>
            <sz val="9"/>
            <color indexed="81"/>
            <rFont val="Tahoma"/>
            <family val="2"/>
          </rPr>
          <t xml:space="preserve">
DARI PAK FERDI</t>
        </r>
      </text>
    </comment>
    <comment ref="F390" authorId="0" shapeId="0" xr:uid="{D6872C86-B6CF-4F31-B64F-05B815D2873F}">
      <text>
        <r>
          <rPr>
            <b/>
            <sz val="9"/>
            <color indexed="81"/>
            <rFont val="Tahoma"/>
            <family val="2"/>
          </rPr>
          <t>Afifah Amaliasari:</t>
        </r>
        <r>
          <rPr>
            <sz val="9"/>
            <color indexed="81"/>
            <rFont val="Tahoma"/>
            <family val="2"/>
          </rPr>
          <t xml:space="preserve">
DARI PAK FERDI</t>
        </r>
      </text>
    </comment>
    <comment ref="F391" authorId="0" shapeId="0" xr:uid="{632D87C1-89E2-4D7A-86A2-EBD582FEDDB0}">
      <text>
        <r>
          <rPr>
            <b/>
            <sz val="9"/>
            <color indexed="81"/>
            <rFont val="Tahoma"/>
            <family val="2"/>
          </rPr>
          <t>Afifah Amaliasari:</t>
        </r>
        <r>
          <rPr>
            <sz val="9"/>
            <color indexed="81"/>
            <rFont val="Tahoma"/>
            <family val="2"/>
          </rPr>
          <t xml:space="preserve">
DARI PAK FERDI</t>
        </r>
      </text>
    </comment>
    <comment ref="F392" authorId="0" shapeId="0" xr:uid="{64363DA8-4F09-47EC-A1F6-FC6B766B26AA}">
      <text>
        <r>
          <rPr>
            <b/>
            <sz val="9"/>
            <color indexed="81"/>
            <rFont val="Tahoma"/>
            <family val="2"/>
          </rPr>
          <t>Afifah Amaliasari:</t>
        </r>
        <r>
          <rPr>
            <sz val="9"/>
            <color indexed="81"/>
            <rFont val="Tahoma"/>
            <family val="2"/>
          </rPr>
          <t xml:space="preserve">
DARI PAK FERDI</t>
        </r>
      </text>
    </comment>
    <comment ref="F393" authorId="0" shapeId="0" xr:uid="{B404CAAF-24A3-4D77-A8ED-AA6C2A3129D9}">
      <text>
        <r>
          <rPr>
            <b/>
            <sz val="9"/>
            <color indexed="81"/>
            <rFont val="Tahoma"/>
            <family val="2"/>
          </rPr>
          <t>Afifah Amaliasari:</t>
        </r>
        <r>
          <rPr>
            <sz val="9"/>
            <color indexed="81"/>
            <rFont val="Tahoma"/>
            <family val="2"/>
          </rPr>
          <t xml:space="preserve">
DARI PAK FERDI</t>
        </r>
      </text>
    </comment>
    <comment ref="F394" authorId="0" shapeId="0" xr:uid="{BE80BE71-55F2-4C48-BF89-62F596C3DE3C}">
      <text>
        <r>
          <rPr>
            <b/>
            <sz val="9"/>
            <color indexed="81"/>
            <rFont val="Tahoma"/>
            <family val="2"/>
          </rPr>
          <t>Afifah Amaliasari:</t>
        </r>
        <r>
          <rPr>
            <sz val="9"/>
            <color indexed="81"/>
            <rFont val="Tahoma"/>
            <family val="2"/>
          </rPr>
          <t xml:space="preserve">
DARI PAK FERDI</t>
        </r>
      </text>
    </comment>
    <comment ref="F395" authorId="0" shapeId="0" xr:uid="{C134DDD3-B186-4619-A90F-89BB867E5299}">
      <text>
        <r>
          <rPr>
            <b/>
            <sz val="9"/>
            <color indexed="81"/>
            <rFont val="Tahoma"/>
            <family val="2"/>
          </rPr>
          <t>Afifah Amaliasari:</t>
        </r>
        <r>
          <rPr>
            <sz val="9"/>
            <color indexed="81"/>
            <rFont val="Tahoma"/>
            <family val="2"/>
          </rPr>
          <t xml:space="preserve">
DARI PAK FERDI</t>
        </r>
      </text>
    </comment>
    <comment ref="F396" authorId="0" shapeId="0" xr:uid="{761D357C-19D4-48ED-8259-9D778D13A3E5}">
      <text>
        <r>
          <rPr>
            <b/>
            <sz val="9"/>
            <color indexed="81"/>
            <rFont val="Tahoma"/>
            <family val="2"/>
          </rPr>
          <t>Afifah Amaliasari:</t>
        </r>
        <r>
          <rPr>
            <sz val="9"/>
            <color indexed="81"/>
            <rFont val="Tahoma"/>
            <family val="2"/>
          </rPr>
          <t xml:space="preserve">
DARI PAK FERDI</t>
        </r>
      </text>
    </comment>
    <comment ref="F397" authorId="0" shapeId="0" xr:uid="{38ACB7BE-5536-4C08-87EB-1D4A490B3108}">
      <text>
        <r>
          <rPr>
            <b/>
            <sz val="9"/>
            <color indexed="81"/>
            <rFont val="Tahoma"/>
            <family val="2"/>
          </rPr>
          <t>Afifah Amaliasari:</t>
        </r>
        <r>
          <rPr>
            <sz val="9"/>
            <color indexed="81"/>
            <rFont val="Tahoma"/>
            <family val="2"/>
          </rPr>
          <t xml:space="preserve">
DARI PAK FERDI</t>
        </r>
      </text>
    </comment>
    <comment ref="F398" authorId="0" shapeId="0" xr:uid="{6FB87AF3-C7AF-42B2-A159-0439E11E4F48}">
      <text>
        <r>
          <rPr>
            <b/>
            <sz val="9"/>
            <color indexed="81"/>
            <rFont val="Tahoma"/>
            <family val="2"/>
          </rPr>
          <t>Afifah Amaliasari:</t>
        </r>
        <r>
          <rPr>
            <sz val="9"/>
            <color indexed="81"/>
            <rFont val="Tahoma"/>
            <family val="2"/>
          </rPr>
          <t xml:space="preserve">
DARI PAK FERDI</t>
        </r>
      </text>
    </comment>
    <comment ref="F399" authorId="0" shapeId="0" xr:uid="{4815327F-A4B5-45DB-A3C4-A1E48E3B2B8E}">
      <text>
        <r>
          <rPr>
            <b/>
            <sz val="9"/>
            <color indexed="81"/>
            <rFont val="Tahoma"/>
            <family val="2"/>
          </rPr>
          <t>Afifah Amaliasari:</t>
        </r>
        <r>
          <rPr>
            <sz val="9"/>
            <color indexed="81"/>
            <rFont val="Tahoma"/>
            <family val="2"/>
          </rPr>
          <t xml:space="preserve">
DARI PAK FERDI</t>
        </r>
      </text>
    </comment>
    <comment ref="F400" authorId="0" shapeId="0" xr:uid="{34B02FFA-EE66-4E0B-80D1-B3E7DC41079F}">
      <text>
        <r>
          <rPr>
            <b/>
            <sz val="9"/>
            <color indexed="81"/>
            <rFont val="Tahoma"/>
            <family val="2"/>
          </rPr>
          <t>Afifah Amaliasari:</t>
        </r>
        <r>
          <rPr>
            <sz val="9"/>
            <color indexed="81"/>
            <rFont val="Tahoma"/>
            <family val="2"/>
          </rPr>
          <t xml:space="preserve">
DARI PAK FERDI</t>
        </r>
      </text>
    </comment>
    <comment ref="F401" authorId="0" shapeId="0" xr:uid="{704B5EFF-DCA9-4F45-B31A-157923660E9D}">
      <text>
        <r>
          <rPr>
            <b/>
            <sz val="9"/>
            <color indexed="81"/>
            <rFont val="Tahoma"/>
            <family val="2"/>
          </rPr>
          <t>Afifah Amaliasari:</t>
        </r>
        <r>
          <rPr>
            <sz val="9"/>
            <color indexed="81"/>
            <rFont val="Tahoma"/>
            <family val="2"/>
          </rPr>
          <t xml:space="preserve">
DARI PAK FERDI</t>
        </r>
      </text>
    </comment>
    <comment ref="F402" authorId="0" shapeId="0" xr:uid="{49173B0F-92F5-4835-B587-D55B49C77758}">
      <text>
        <r>
          <rPr>
            <b/>
            <sz val="9"/>
            <color indexed="81"/>
            <rFont val="Tahoma"/>
            <family val="2"/>
          </rPr>
          <t>Afifah Amaliasari:</t>
        </r>
        <r>
          <rPr>
            <sz val="9"/>
            <color indexed="81"/>
            <rFont val="Tahoma"/>
            <family val="2"/>
          </rPr>
          <t xml:space="preserve">
DARI PAK FERDI</t>
        </r>
      </text>
    </comment>
    <comment ref="F403" authorId="0" shapeId="0" xr:uid="{0F37AB22-0E3E-4EA2-A969-CA6BC717D8A7}">
      <text>
        <r>
          <rPr>
            <b/>
            <sz val="9"/>
            <color indexed="81"/>
            <rFont val="Tahoma"/>
            <family val="2"/>
          </rPr>
          <t>Afifah Amaliasari:</t>
        </r>
        <r>
          <rPr>
            <sz val="9"/>
            <color indexed="81"/>
            <rFont val="Tahoma"/>
            <family val="2"/>
          </rPr>
          <t xml:space="preserve">
DARI PAK FERDI</t>
        </r>
      </text>
    </comment>
    <comment ref="F404" authorId="0" shapeId="0" xr:uid="{ED6D9609-1CB4-4D77-9960-83D90C5DDCD2}">
      <text>
        <r>
          <rPr>
            <b/>
            <sz val="9"/>
            <color indexed="81"/>
            <rFont val="Tahoma"/>
            <family val="2"/>
          </rPr>
          <t>Afifah Amaliasari:</t>
        </r>
        <r>
          <rPr>
            <sz val="9"/>
            <color indexed="81"/>
            <rFont val="Tahoma"/>
            <family val="2"/>
          </rPr>
          <t xml:space="preserve">
DARI PAK FERDI</t>
        </r>
      </text>
    </comment>
    <comment ref="F405" authorId="0" shapeId="0" xr:uid="{15F4D559-2BEC-4933-9867-B8FFE73AD346}">
      <text>
        <r>
          <rPr>
            <b/>
            <sz val="9"/>
            <color indexed="81"/>
            <rFont val="Tahoma"/>
            <family val="2"/>
          </rPr>
          <t>Afifah Amaliasari:</t>
        </r>
        <r>
          <rPr>
            <sz val="9"/>
            <color indexed="81"/>
            <rFont val="Tahoma"/>
            <family val="2"/>
          </rPr>
          <t xml:space="preserve">
DARI PAK FERDI</t>
        </r>
      </text>
    </comment>
    <comment ref="F406" authorId="0" shapeId="0" xr:uid="{E011F334-41E7-4B14-8E74-45AEB3282AAB}">
      <text>
        <r>
          <rPr>
            <b/>
            <sz val="9"/>
            <color indexed="81"/>
            <rFont val="Tahoma"/>
            <family val="2"/>
          </rPr>
          <t>Afifah Amaliasari:</t>
        </r>
        <r>
          <rPr>
            <sz val="9"/>
            <color indexed="81"/>
            <rFont val="Tahoma"/>
            <family val="2"/>
          </rPr>
          <t xml:space="preserve">
DARI PAK FERDI</t>
        </r>
      </text>
    </comment>
    <comment ref="F407" authorId="0" shapeId="0" xr:uid="{0FC80E88-1DC6-4842-99BB-0182CBA9C9E6}">
      <text>
        <r>
          <rPr>
            <b/>
            <sz val="9"/>
            <color indexed="81"/>
            <rFont val="Tahoma"/>
            <family val="2"/>
          </rPr>
          <t>Afifah Amaliasari:</t>
        </r>
        <r>
          <rPr>
            <sz val="9"/>
            <color indexed="81"/>
            <rFont val="Tahoma"/>
            <family val="2"/>
          </rPr>
          <t xml:space="preserve">
DARI PAK FERDI</t>
        </r>
      </text>
    </comment>
    <comment ref="F408" authorId="0" shapeId="0" xr:uid="{70002913-27C7-418E-A798-C4BA4B720DB5}">
      <text>
        <r>
          <rPr>
            <b/>
            <sz val="9"/>
            <color indexed="81"/>
            <rFont val="Tahoma"/>
            <family val="2"/>
          </rPr>
          <t>Afifah Amaliasari:</t>
        </r>
        <r>
          <rPr>
            <sz val="9"/>
            <color indexed="81"/>
            <rFont val="Tahoma"/>
            <family val="2"/>
          </rPr>
          <t xml:space="preserve">
DARI PAK FERDI</t>
        </r>
      </text>
    </comment>
    <comment ref="F409" authorId="0" shapeId="0" xr:uid="{AC94A0AF-BE7A-45D7-ADAF-4C165765B822}">
      <text>
        <r>
          <rPr>
            <b/>
            <sz val="9"/>
            <color indexed="81"/>
            <rFont val="Tahoma"/>
            <family val="2"/>
          </rPr>
          <t>Afifah Amaliasari:</t>
        </r>
        <r>
          <rPr>
            <sz val="9"/>
            <color indexed="81"/>
            <rFont val="Tahoma"/>
            <family val="2"/>
          </rPr>
          <t xml:space="preserve">
DARI PAK FERDI</t>
        </r>
      </text>
    </comment>
    <comment ref="F410" authorId="0" shapeId="0" xr:uid="{542FF2C0-E3BE-4633-B3C8-BAF35F8766DD}">
      <text>
        <r>
          <rPr>
            <b/>
            <sz val="9"/>
            <color indexed="81"/>
            <rFont val="Tahoma"/>
            <family val="2"/>
          </rPr>
          <t>Afifah Amaliasari:</t>
        </r>
        <r>
          <rPr>
            <sz val="9"/>
            <color indexed="81"/>
            <rFont val="Tahoma"/>
            <family val="2"/>
          </rPr>
          <t xml:space="preserve">
DARI PAK FERDI</t>
        </r>
      </text>
    </comment>
    <comment ref="F411" authorId="0" shapeId="0" xr:uid="{A370892B-00F9-4258-94F0-C9D02F5DB9F3}">
      <text>
        <r>
          <rPr>
            <b/>
            <sz val="9"/>
            <color indexed="81"/>
            <rFont val="Tahoma"/>
            <family val="2"/>
          </rPr>
          <t>Afifah Amaliasari:</t>
        </r>
        <r>
          <rPr>
            <sz val="9"/>
            <color indexed="81"/>
            <rFont val="Tahoma"/>
            <family val="2"/>
          </rPr>
          <t xml:space="preserve">
DARI PAK FERDI</t>
        </r>
      </text>
    </comment>
    <comment ref="F412" authorId="0" shapeId="0" xr:uid="{15E94FBB-F792-4A8E-90E4-04CAAFD8426D}">
      <text>
        <r>
          <rPr>
            <b/>
            <sz val="9"/>
            <color indexed="81"/>
            <rFont val="Tahoma"/>
            <family val="2"/>
          </rPr>
          <t>Afifah Amaliasari:</t>
        </r>
        <r>
          <rPr>
            <sz val="9"/>
            <color indexed="81"/>
            <rFont val="Tahoma"/>
            <family val="2"/>
          </rPr>
          <t xml:space="preserve">
DARI PAK FERDI</t>
        </r>
      </text>
    </comment>
    <comment ref="F413" authorId="0" shapeId="0" xr:uid="{AE041856-EB3C-498C-82D9-4D8B59BFF759}">
      <text>
        <r>
          <rPr>
            <b/>
            <sz val="9"/>
            <color indexed="81"/>
            <rFont val="Tahoma"/>
            <family val="2"/>
          </rPr>
          <t>Afifah Amaliasari:</t>
        </r>
        <r>
          <rPr>
            <sz val="9"/>
            <color indexed="81"/>
            <rFont val="Tahoma"/>
            <family val="2"/>
          </rPr>
          <t xml:space="preserve">
DARI PAK FERDI</t>
        </r>
      </text>
    </comment>
    <comment ref="F414" authorId="0" shapeId="0" xr:uid="{D66505D0-A587-44EA-B40B-DECD4AC04F98}">
      <text>
        <r>
          <rPr>
            <b/>
            <sz val="9"/>
            <color indexed="81"/>
            <rFont val="Tahoma"/>
            <family val="2"/>
          </rPr>
          <t>Afifah Amaliasari:</t>
        </r>
        <r>
          <rPr>
            <sz val="9"/>
            <color indexed="81"/>
            <rFont val="Tahoma"/>
            <family val="2"/>
          </rPr>
          <t xml:space="preserve">
DARI PAK FERDI</t>
        </r>
      </text>
    </comment>
    <comment ref="F415" authorId="0" shapeId="0" xr:uid="{67A95EC1-86D2-459C-8878-ADAEB7AFA7A1}">
      <text>
        <r>
          <rPr>
            <b/>
            <sz val="9"/>
            <color indexed="81"/>
            <rFont val="Tahoma"/>
            <family val="2"/>
          </rPr>
          <t>Afifah Amaliasari:</t>
        </r>
        <r>
          <rPr>
            <sz val="9"/>
            <color indexed="81"/>
            <rFont val="Tahoma"/>
            <family val="2"/>
          </rPr>
          <t xml:space="preserve">
DARI PAK FERDI</t>
        </r>
      </text>
    </comment>
    <comment ref="F416" authorId="0" shapeId="0" xr:uid="{6732FE0D-BEBB-4A2A-BA1A-C7D0B006A27A}">
      <text>
        <r>
          <rPr>
            <b/>
            <sz val="9"/>
            <color indexed="81"/>
            <rFont val="Tahoma"/>
            <family val="2"/>
          </rPr>
          <t>Afifah Amaliasari:</t>
        </r>
        <r>
          <rPr>
            <sz val="9"/>
            <color indexed="81"/>
            <rFont val="Tahoma"/>
            <family val="2"/>
          </rPr>
          <t xml:space="preserve">
DARI PAK FERDI</t>
        </r>
      </text>
    </comment>
    <comment ref="F417" authorId="0" shapeId="0" xr:uid="{FDF7997A-70B4-43CA-AF32-7439E72974A4}">
      <text>
        <r>
          <rPr>
            <b/>
            <sz val="9"/>
            <color indexed="81"/>
            <rFont val="Tahoma"/>
            <family val="2"/>
          </rPr>
          <t>Afifah Amaliasari:</t>
        </r>
        <r>
          <rPr>
            <sz val="9"/>
            <color indexed="81"/>
            <rFont val="Tahoma"/>
            <family val="2"/>
          </rPr>
          <t xml:space="preserve">
DARI PAK FERDI</t>
        </r>
      </text>
    </comment>
    <comment ref="F418" authorId="0" shapeId="0" xr:uid="{3EB87C17-B7B8-4ABC-9392-A91CFCB420B8}">
      <text>
        <r>
          <rPr>
            <b/>
            <sz val="9"/>
            <color indexed="81"/>
            <rFont val="Tahoma"/>
            <family val="2"/>
          </rPr>
          <t>Afifah Amaliasari:</t>
        </r>
        <r>
          <rPr>
            <sz val="9"/>
            <color indexed="81"/>
            <rFont val="Tahoma"/>
            <family val="2"/>
          </rPr>
          <t xml:space="preserve">
DARI PAK FERDI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Afifah Amaliasari</author>
    <author>Lisbet I. Simatupang</author>
  </authors>
  <commentList>
    <comment ref="D118" authorId="0" shapeId="0" xr:uid="{37974130-9137-4C03-A2CD-120213B605B1}">
      <text>
        <r>
          <rPr>
            <b/>
            <sz val="9"/>
            <color indexed="81"/>
            <rFont val="Tahoma"/>
            <family val="2"/>
          </rPr>
          <t>Afifah Amaliasari:</t>
        </r>
        <r>
          <rPr>
            <sz val="9"/>
            <color indexed="81"/>
            <rFont val="Tahoma"/>
            <family val="2"/>
          </rPr>
          <t xml:space="preserve">
DULU CLEAR TAPI SKRG PAKAI CLEAR WHITE UDAH KONFIRMASI SAMA BU ELA PER 28/11/25</t>
        </r>
      </text>
    </comment>
    <comment ref="E153" authorId="1" shapeId="0" xr:uid="{6E20C458-8D24-42BB-B3F0-01CCF006C549}">
      <text>
        <r>
          <rPr>
            <b/>
            <sz val="9"/>
            <color indexed="81"/>
            <rFont val="Tahoma"/>
            <family val="2"/>
          </rPr>
          <t>Lisbet I. Simatupang:</t>
        </r>
        <r>
          <rPr>
            <sz val="9"/>
            <color indexed="81"/>
            <rFont val="Tahoma"/>
            <family val="2"/>
          </rPr>
          <t xml:space="preserve">
HARGA PER SEPT 2023 DARI PAK FERDI
</t>
        </r>
      </text>
    </comment>
    <comment ref="E154" authorId="1" shapeId="0" xr:uid="{E7A03556-A40E-4D67-BE31-9F778384D6F2}">
      <text>
        <r>
          <rPr>
            <b/>
            <sz val="9"/>
            <color indexed="81"/>
            <rFont val="Tahoma"/>
            <family val="2"/>
          </rPr>
          <t>Lisbet I. Simatupang:</t>
        </r>
        <r>
          <rPr>
            <sz val="9"/>
            <color indexed="81"/>
            <rFont val="Tahoma"/>
            <family val="2"/>
          </rPr>
          <t xml:space="preserve">
HARGA PER SEPT 2023 DARI PAK FERDI</t>
        </r>
      </text>
    </comment>
    <comment ref="E223" authorId="1" shapeId="0" xr:uid="{283BAA40-83BD-4AF8-A0B4-DBCDE1749106}">
      <text>
        <r>
          <rPr>
            <b/>
            <sz val="9"/>
            <color indexed="81"/>
            <rFont val="Tahoma"/>
            <family val="2"/>
          </rPr>
          <t>Lisbet I. Simatupang:</t>
        </r>
        <r>
          <rPr>
            <sz val="9"/>
            <color indexed="81"/>
            <rFont val="Tahoma"/>
            <family val="2"/>
          </rPr>
          <t xml:space="preserve">
PAKE HARGA KOANSONG KUNING, KARENA JENIS KERTAS NYA BEDA
</t>
        </r>
      </text>
    </comment>
    <comment ref="D276" authorId="0" shapeId="0" xr:uid="{55A39FA7-B72A-4D27-905B-BB49D43CCCE4}">
      <text>
        <r>
          <rPr>
            <b/>
            <sz val="9"/>
            <color indexed="81"/>
            <rFont val="Tahoma"/>
            <family val="2"/>
          </rPr>
          <t>Afifah Amaliasari:</t>
        </r>
        <r>
          <rPr>
            <sz val="9"/>
            <color indexed="81"/>
            <rFont val="Tahoma"/>
            <family val="2"/>
          </rPr>
          <t xml:space="preserve">
SANSUI ( C ) OPP TAPE CLEAR 2" X 72Y (DULU)
UDAH KONFIRMASI BU ELA DAN BU ELA BARU DI INFORMASI KEMARIN AMA PAK IFAN 
TGL KONFIRMASI (01-12-25)</t>
        </r>
      </text>
    </comment>
    <comment ref="E345" authorId="1" shapeId="0" xr:uid="{CBDC1446-13AC-4914-B810-5F69D99B614F}">
      <text>
        <r>
          <rPr>
            <b/>
            <sz val="9"/>
            <color indexed="81"/>
            <rFont val="Tahoma"/>
            <family val="2"/>
          </rPr>
          <t>Lisbet I. Simatupang:</t>
        </r>
        <r>
          <rPr>
            <sz val="9"/>
            <color indexed="81"/>
            <rFont val="Tahoma"/>
            <family val="2"/>
          </rPr>
          <t xml:space="preserve">
HITUNGAN HARGA NYA DARI NASHUA TOP ONE CLOTH TAPE HITAM 46MM X 10M</t>
        </r>
      </text>
    </comment>
  </commentList>
</comments>
</file>

<file path=xl/sharedStrings.xml><?xml version="1.0" encoding="utf-8"?>
<sst xmlns="http://schemas.openxmlformats.org/spreadsheetml/2006/main" count="3206" uniqueCount="1016">
  <si>
    <t>HARGA JUAL AGSON KE NASHUA</t>
  </si>
  <si>
    <t>HARGA DPP</t>
  </si>
  <si>
    <t>NAMA BARANG &amp; UKURAN</t>
  </si>
  <si>
    <t>NO.</t>
  </si>
  <si>
    <t>CARTON BOX MIROKU NON ADH 490 X 329 X 229</t>
  </si>
  <si>
    <t>CARTON BOX NASHUA ALUMINIUM 275 X 275 X 295</t>
  </si>
  <si>
    <t>CARTON BOX NASHUA G2 OPP 445 X 223 X 293</t>
  </si>
  <si>
    <t>CARTON BOX NASHUA OPP445 X 223 X 293</t>
  </si>
  <si>
    <t>CARTON BOX NASHUA UNITITEL 430 X 215 X 293</t>
  </si>
  <si>
    <t>CARTON BOX NASHUA XTRA MASKING 205 X 205 X 245</t>
  </si>
  <si>
    <t>CARTON BOX NASHUA XTRA OPP 445 X 223 X 293</t>
  </si>
  <si>
    <t>CARTON BOX SANSUI HIJAU 75 530 X 345 X 250</t>
  </si>
  <si>
    <t>CARTON BOX TOP ONE OPP SAT 445 X 335 X 293</t>
  </si>
  <si>
    <t>CARTON BOX NASHUA PREMIUM 24 210 X 210 X 295</t>
  </si>
  <si>
    <t>KOANSONG ALUMINIUM TAPE (KERTAS KUNING) 2" X 40Y</t>
  </si>
  <si>
    <t>MIROKU ALUMUNIUM TAPE 48MM X 25M</t>
  </si>
  <si>
    <t>MIROKU MASKING TAPE WHITE 15MM X 2,5M</t>
  </si>
  <si>
    <t>MIROKU DOUBLE TAPE 9MM X 19,25M</t>
  </si>
  <si>
    <t>MIROKU MASKING TAPE Y 15MM X 2,5M</t>
  </si>
  <si>
    <t>MIROKU NON ADHESIVE TAPE ABU-ABU 2" X 20M</t>
  </si>
  <si>
    <t>MIROKU NON ADHESIVE TAPE CREAM 2" X 20M</t>
  </si>
  <si>
    <t>NASHUA ALUMINIUM TAPE 48MM X 25M</t>
  </si>
  <si>
    <t>NASHUA ALUMINIUM TAPE 72MM X 25M</t>
  </si>
  <si>
    <t>NASHUA ALUMINIUM TAPE 100CM X 25M</t>
  </si>
  <si>
    <t>NASHUA ALUMINIUM TAPE 48MM X 30M</t>
  </si>
  <si>
    <t>NASHUA ALUMINIUM TAPE 48MM X 50M</t>
  </si>
  <si>
    <t>NASHUA ALUMINIUM TAPE 96MM X 25M</t>
  </si>
  <si>
    <t>NASHUA ALUMINIUM TAPE 96MM X 30M</t>
  </si>
  <si>
    <t>NASHUA DOUBLE BLACK FOAM RELEASE HIJAU 12MM X 5M</t>
  </si>
  <si>
    <t>NASHUA DOUBLE BLACK FOAM RELEASE HIJAU 24MM X 5M</t>
  </si>
  <si>
    <t>NASHUA DOUBLE BLACK FOAM RELEASE HIJAU 48MM X 5M</t>
  </si>
  <si>
    <t>NASHUA DOUBLE BLACK FOAM RELEASE HIJAU 20MM X 20M</t>
  </si>
  <si>
    <t>NASHUA DOUBLE BLACK FOAM RELEASE HIJAU 12MM X 10M</t>
  </si>
  <si>
    <t>NASHUA DOUBLE TAPE HOTMELT 10MM X 150M</t>
  </si>
  <si>
    <t>NASHUA DOUBLE TAPE HOTMELT 12MM X 50M</t>
  </si>
  <si>
    <t>NASHUA DOUBLE TAPE HOTMELT 48MM X 15Y</t>
  </si>
  <si>
    <t>NASHUA DOUBLE TAPE HOTMELT 24MM X 15Y</t>
  </si>
  <si>
    <t>NASHUA DOUBLE TAPE HOTMELT 12MM X 15Y</t>
  </si>
  <si>
    <t>NASHUA DOUBLE WHITE FOAM RELEASE KOTAK 24MM X 5M</t>
  </si>
  <si>
    <t>NASHUA DUCT TAPE HITAM 2" X 50Y</t>
  </si>
  <si>
    <t>NASHUA DUCT TAPE HITAM 2" X 25M</t>
  </si>
  <si>
    <t>NASHUA DUCT TAPE KUNING 2" X 25M</t>
  </si>
  <si>
    <t>NASHUA DUCT TAPE SILVER 1" X 25M</t>
  </si>
  <si>
    <t>NASHUA DUCT TAPE SILVER 2" X 25M</t>
  </si>
  <si>
    <t>NASHUA DUCT TAPE SILVER 2" X 50Y</t>
  </si>
  <si>
    <t>NASHUA DUCT TAPE SILVER 3" X 25M</t>
  </si>
  <si>
    <t>NASHUA DUCT TAPE SILVER 3" X 50Y</t>
  </si>
  <si>
    <t>NASHUA DUCT TAPE SILVER  100MM X 50Y</t>
  </si>
  <si>
    <t>NASHUA G2 DOUBLE TAPE HOTMELT 24MM X 10M</t>
  </si>
  <si>
    <t>NASHUA G2 DOUBLE TAPE HOTMELT 24MM X 50Y</t>
  </si>
  <si>
    <t>NASHUA G2 FILAMENT TAPE 24MM X 25M</t>
  </si>
  <si>
    <t>NASHUA G2 MASKING TAPE WHITE 35MM X 15M</t>
  </si>
  <si>
    <t>NASHUA G2 MASKING TAPE WHITE 24MM X 15M</t>
  </si>
  <si>
    <t>NASHUA G2 MASKING TAPE WHITE 24MM X 21M</t>
  </si>
  <si>
    <t>NASHUA G2 MASKING TAPE Y 24MM X 15M</t>
  </si>
  <si>
    <t>NASHUA G2 MASKING TAPE Y 48MM X 15M</t>
  </si>
  <si>
    <t>NASHUA G2 MASKING TAPE Y 24MM X 25M</t>
  </si>
  <si>
    <t>NASHUA G2 MASKING TAPE Y 48MM X 25M</t>
  </si>
  <si>
    <t>NASHUA G2 OPP TAPE CLEAR 43MIC 48MM X 72Y</t>
  </si>
  <si>
    <t>NASHUA MASKING TAPE WHITE 24MM X 20M</t>
  </si>
  <si>
    <t>NASHUA MASKING TAPE Y 18MM X 7M</t>
  </si>
  <si>
    <t>NASHUA MASKING TAPE Y 6MM X 10M</t>
  </si>
  <si>
    <t>NASHUA MASKING TAPE Y 12MM X 10M</t>
  </si>
  <si>
    <t>NASHUA MASKING TAPE Y 41MM X 10M</t>
  </si>
  <si>
    <t>NASHUA MASKING TAPE Y 12MM X 15M</t>
  </si>
  <si>
    <t>NASHUA MASKING TAPE Y 24MM X 15M</t>
  </si>
  <si>
    <t>NASHUA MASKING TAPE Y 48MM X 15M</t>
  </si>
  <si>
    <t>NASHUA MASKING TAPE Y 96MM X 15M</t>
  </si>
  <si>
    <t>NASHUA MASKING TAPE Y 24MM X 25M</t>
  </si>
  <si>
    <t>NASHUA MASKING TAPE Y 48MM X 25M</t>
  </si>
  <si>
    <t>NASHUA MASKING TAPE Y 12MM X 20M</t>
  </si>
  <si>
    <t>NASHUA MASKING TAPE Y 24MM X 20M</t>
  </si>
  <si>
    <t>NASHUA MASKING TAPE Y 48MM X 20M</t>
  </si>
  <si>
    <t>NASHUA MASKING TAPE Y 5MM X 30M</t>
  </si>
  <si>
    <t>NASHUA MASKING TAPE Y 18MM X 30M</t>
  </si>
  <si>
    <t>NASHUA MASKING TAPE Y 24MM X 30M</t>
  </si>
  <si>
    <t>NASHUA MASKING TAPE Y 48MM X 30M</t>
  </si>
  <si>
    <t>NASHUA MASKING TAPE Y 72MM X 30M</t>
  </si>
  <si>
    <t>NASHUA MASKING TAPE Y 18MM X 40Y</t>
  </si>
  <si>
    <t>NASHUA MASKING TAPE Y 24MM X 40Y</t>
  </si>
  <si>
    <t>NASHUA MASKING TAPE Y 48MM X 40Y</t>
  </si>
  <si>
    <t>NASHUA MASKING TAPE Y 72MM X 20M</t>
  </si>
  <si>
    <t>NASHUA MASKING TAPE Y 18MM X 10M</t>
  </si>
  <si>
    <t>NASHUA MASKING TAPE Y PREMIUM 24MM X 30M</t>
  </si>
  <si>
    <t>NASHUA MASKING TAPE Y PREMIUM 48MM X 30M</t>
  </si>
  <si>
    <t>NASHUA OPP PACKING TAPE CLEAR 45MIC 48MM X 90Y</t>
  </si>
  <si>
    <t>NASHUA OPP PACKING TAPE CLEAR G2 43MIC 48MM X 80Y</t>
  </si>
  <si>
    <t>NASHUA OPP PACKING TAPE TAN G2 43MIC 48MM X 80Y</t>
  </si>
  <si>
    <t>NASHUA OPP PRINTED 48 MIC ; LOGO : MARKSON JAYA MEDIKA ; WD : PUTIH SUSU CETAKAN : BIRU + HIJAU 48MM X 90Y</t>
  </si>
  <si>
    <t>NASHUA OPP PRINTED TAPE LOGO : Jangan diterima jika segel rusak WD : Transparant   Cetakan : Biru 48MM X 90Y</t>
  </si>
  <si>
    <t>NASHUA OPP PRINTED TAPE 48MIC LOGO : STIHL CETAKAN : WARNA ORANGE + HITAM WD : TRANSPARANT 48MM X 72Y (65M)</t>
  </si>
  <si>
    <t>KETERANGAN</t>
  </si>
  <si>
    <t>PERTAMA</t>
  </si>
  <si>
    <t>NASHUA OPP TAPE CLEAR 3"</t>
  </si>
  <si>
    <t>NASHUA OPP TAPE CLEAR 2" X 90Y</t>
  </si>
  <si>
    <t>NASHUA OPP TAPE CLEAR 72MM X 90Y</t>
  </si>
  <si>
    <t>NASHUA OPP TAPE CLEAR 47MIC 48MM X 80Y</t>
  </si>
  <si>
    <t>NASHUA OPP TAPE CLEAR 47MIC 48MM X 90Y</t>
  </si>
  <si>
    <t>NASHUA OPP TAPE TAN 47MIC 48MM X 80Y</t>
  </si>
  <si>
    <t>NASHUA OPP TAPE TAN 48MM X 90Y</t>
  </si>
  <si>
    <t>NASHUA OPP TAPE TAN 48MIC 48MM X 81M</t>
  </si>
  <si>
    <t>NASHUA THE REAL ONE FLOOR MARKING TAPE HITAM KUNING 50MM X 33M</t>
  </si>
  <si>
    <t>NASHUA THE REAL ONE OPP TAPE CLEAR 48MM X 90Y</t>
  </si>
  <si>
    <t>NASHUA TOP1 CLOTH TAPE HITAM 23MM X 5Y</t>
  </si>
  <si>
    <t>NASHUA TOP1 CLOTH TAPE HITAM 35MM X 5Y</t>
  </si>
  <si>
    <t>NASHUA TOP1 CLOTH TAPE HITAM 46MM X 5Y</t>
  </si>
  <si>
    <t>NASHUA TOP1 CLOTH TAPE HITAM 48MM X 10Y</t>
  </si>
  <si>
    <t>NASHUA TOP1 CLOTH TAPE HITAM 46MM X 10M</t>
  </si>
  <si>
    <t>NASHUA TOP1 CLOTH TAPE HITAM 35MM X 10M</t>
  </si>
  <si>
    <t>NASHUA TOP1 CLOTH TAPE HITAM 23MM X 10M</t>
  </si>
  <si>
    <t>NASHUA TOP1 CLOTH TAPE HITAM 46MM X 12M</t>
  </si>
  <si>
    <t>NASHUA TOP1 CLOTH TAPE HITAM 35MM X 12M</t>
  </si>
  <si>
    <t>NASHUA TOP1 CLOTH TAPE HITAM 23MM X 12M</t>
  </si>
  <si>
    <t>NASHUA TOP1 CLOTH TAPE KUNING 46MM X 10M</t>
  </si>
  <si>
    <t>NASHUA TOP1 CLOTH TAPE MERAH 23MM X 5Y</t>
  </si>
  <si>
    <t>NASHUA TOP1 CLOTH TAPE MERAH 35MM X 5Y</t>
  </si>
  <si>
    <t>NASHUA TOP1 CLOTH TAPE MERAH 46MM X 5Y</t>
  </si>
  <si>
    <t>NASHUA TOP1 DOUBLE BLACK FOAM RELEASE HIJAU 12MM X 5Y</t>
  </si>
  <si>
    <t>NASHUA TOP1 DOUBLE BLACK FOAM RELEASE HIJAU 24MM X 5Y</t>
  </si>
  <si>
    <t>NASHUA TOP1 DOUBLE BLACK FOAM RELEASE HIJAU 48MM X 5Y</t>
  </si>
  <si>
    <t>NASHUA TOP1 DOUBLE TAPE HOTMELT 90MIC 5MM X 10Y</t>
  </si>
  <si>
    <t>NASHUA TOP1 DOUBLE TAPE HOTMELT 90MIC 10MM X 10Y</t>
  </si>
  <si>
    <t>NASHUA TOP1 DOUBLE TAPE HOTMELT 90MIC 22MM X 10Y</t>
  </si>
  <si>
    <t>NASHUA TOP1 DOUBLE TAPE HOTMELT 90MIC 46MM X 10Y</t>
  </si>
  <si>
    <t>NASHUA TOP1 MASKING TAPE NATURAL BEIGE 6MM X 18Y</t>
  </si>
  <si>
    <t>NASHUA TOP1 MASKING TAPE NATURAL BEIGE 12MM X 18Y</t>
  </si>
  <si>
    <t>NASHUA TOP1 MASKING TAPE NATURAL BEIGE 24MM X 18Y</t>
  </si>
  <si>
    <t>NASHUA TOP1 MASKING TAPE NATURAL BEIGE 48MM X 18Y</t>
  </si>
  <si>
    <t>NASHUA TOP1 MASKING TAPE NATURAL 48MM X 10M</t>
  </si>
  <si>
    <t>NASHUA TOP1 MASKING TAPE NATURAL 24MM X 10M</t>
  </si>
  <si>
    <t>NASHUA TOP1 MASKING TAPE NATURAL 24MM X 20Y</t>
  </si>
  <si>
    <t>NASHUA TOP1 OPP TAPE CLEAR / PACKING 45MM X 72Y</t>
  </si>
  <si>
    <t>NASHUA TOP1 OPP TAPE CLEAR / PACKING 48MM X 90Y</t>
  </si>
  <si>
    <t>NASHUA TOP1 OPP TAPE CLEAR WHITE 48MM X 90Y</t>
  </si>
  <si>
    <t>NASHUA TOP1 OPP TAPE TAN / PACKING 45MM X 72Y</t>
  </si>
  <si>
    <t>NASHUA TOP1 OPP TAPE TAN / PACKING 48MM X 90Y</t>
  </si>
  <si>
    <t>NASHUA TOP1 STATIONERY TAPE 43MIC 24MM X 50Y</t>
  </si>
  <si>
    <t>NASHUA TOP1 STATIONERY TAPE 43MIC 12MM X 50Y</t>
  </si>
  <si>
    <t>NASHUA TOP1 STATIONERY TAPE 43MIC 24MM X 72Y</t>
  </si>
  <si>
    <t>NASHUA TOP1 STATIONERY TAPE 43MIC 12MM X 72Y</t>
  </si>
  <si>
    <t>NASHUA TOP ONE LAKBAN BLOK KUNING 2" X 50Y</t>
  </si>
  <si>
    <t>NASHUA XTRA DOUBLE TAPE HOTMELT 36MM X 40M</t>
  </si>
  <si>
    <t>NASHUA XTRA MAGIC TAPE RELEASE 24MM X 3M</t>
  </si>
  <si>
    <t>NASHUA XTRA MAGIC TAPE RELEASE 12MM X 3M</t>
  </si>
  <si>
    <t>NASHUA XTRA MASKING TAPE WAYANG Y 24MM X 21M</t>
  </si>
  <si>
    <t>NASHUA XTRA MASKING TAPE NATURAL  24MM X 21M</t>
  </si>
  <si>
    <t>NASHUA XTRA MASKING TAPE WHITE 48MM X 21M</t>
  </si>
  <si>
    <t>NASHUA XTRA MASKING TAPE WHITE 24MM X 21M</t>
  </si>
  <si>
    <t>NASHUA XTRA MASKING TAPE WHITE 24MM X 21M</t>
  </si>
  <si>
    <t>NASHUA XTRA MASKING TAPE WHITE 24MM X 35M</t>
  </si>
  <si>
    <t>NASHUA XTRA MASKING TAPE WHITE 48MM X 15M</t>
  </si>
  <si>
    <t>NASHUA XTRA MASKING TAPE WHITE 24MM X 15M</t>
  </si>
  <si>
    <t>NASHUA XTRA MASKING TAPE Y 24MM X 15M</t>
  </si>
  <si>
    <t>NASHUA XTRA MASKING TAPE Y 48MM X 15M</t>
  </si>
  <si>
    <t>NASHUA XTRA MASKING TAPE Y 24MM X 21M</t>
  </si>
  <si>
    <t>NASHUA XTRA MASKING TAPE Y 48MM X 21M</t>
  </si>
  <si>
    <t>NASHUA XTRA MASKING TAPE Y 24MM X 35M</t>
  </si>
  <si>
    <t>NASHUA XTRA MASKING TAPE Y 20MM X 10Y</t>
  </si>
  <si>
    <t>NASHUA XTRA MASKING TAPE Y 36MM X 50M</t>
  </si>
  <si>
    <t>NASHUA XTRA MASKING TAPE Y 36MM X 100M</t>
  </si>
  <si>
    <t>NASHUA XTRA MASKING TAPE Y 36MM X 21M</t>
  </si>
  <si>
    <t>NASHUA XTRA MASKING TAPE Y 48MM X 35M</t>
  </si>
  <si>
    <t>NASHUA XTRA METALIZING FILM 1280MM X 100M</t>
  </si>
  <si>
    <t>NASHUA METALIZING FILM 1280MM X 100M</t>
  </si>
  <si>
    <t>NASHUA XTRA OPP TAPE CLEAR 48MM X 90Y</t>
  </si>
  <si>
    <t>NASHUA XTRA OPP TAPE CLEAR WHITE 48MM X 90Y</t>
  </si>
  <si>
    <t>NASHUA XTRA OPP PACKING TAPE CLEAR 45MIC 48MM X 90Y</t>
  </si>
  <si>
    <t>NASHUA XTRA OPP PACKING TAPE TAN 45MIC 48MM X 90Y</t>
  </si>
  <si>
    <t>NASHUA XTRA OPP TAPE TAN 45MIC 48MM X 90Y</t>
  </si>
  <si>
    <t>NS CLOTH TAPE BIRU 48MM X 10M</t>
  </si>
  <si>
    <t>NS CLOTH TAPE BIRU 24MM X 10M</t>
  </si>
  <si>
    <t>NS CLOTH TAPE CREAM 48MM X 10M</t>
  </si>
  <si>
    <t>NS CLOTH TAPE CREAM 48MM X 25M</t>
  </si>
  <si>
    <t>NS CLOTH TAPE HIJAU 24MM X 15M</t>
  </si>
  <si>
    <t>NS CLOTH TAPE HIJAU 48MM X 10M</t>
  </si>
  <si>
    <t>NS CLOTH TAPE HITAM 24MM X 10M</t>
  </si>
  <si>
    <t>NS CLOTH TAPE HITAM 48MM X 5M</t>
  </si>
  <si>
    <t>NS CLOTH TAPE HITAM 48MM X 10M</t>
  </si>
  <si>
    <t>NS CLOTH TAPE KUNING 24MM X 10M</t>
  </si>
  <si>
    <t>NS CLOTH TAPE KUNING 48MM X 10M</t>
  </si>
  <si>
    <t>NS CLOTH TAPE MERAH 48MM X 10M</t>
  </si>
  <si>
    <t>NS CLOTH TAPE MERAH 48MM X 5M</t>
  </si>
  <si>
    <t>NS CLOTH TAPE MERAH 48MM X 25M</t>
  </si>
  <si>
    <t>NS CLOTH TAPE MERAH 24MM X 10M</t>
  </si>
  <si>
    <t>NS CLOTH TAPE PUTIH 48MM X 10M</t>
  </si>
  <si>
    <t>NS CLOTH TAPE PUTIH 24MM X 10M</t>
  </si>
  <si>
    <t>NS MASKING TAPE 5MM X 21M</t>
  </si>
  <si>
    <t>NS MASKING TAPE 10MM X 21M</t>
  </si>
  <si>
    <t>NS MASKING TAPE 48MM X 30M</t>
  </si>
  <si>
    <t>NS MASKING TAPE 10MM X 21Y</t>
  </si>
  <si>
    <t>OPP PRINTED TAPE LOGO : QAS 76MM X 90M</t>
  </si>
  <si>
    <t>SAMPLE</t>
  </si>
  <si>
    <t>OPP PRINTED TAPE LOGO : STOP TULISAN HITAM 72MM X 100Y</t>
  </si>
  <si>
    <t>PAKET KOANSONG ALUMINIUM TAPE (BARANG LAMA) 2" X 40Y</t>
  </si>
  <si>
    <t>POLICE LINE HITAM KUNING 48MM X 250M</t>
  </si>
  <si>
    <t>PROTECTION TAPE BIRU 1200MM X 100M</t>
  </si>
  <si>
    <t>PROTECTION TAPE B&amp;W 1200MM X 100M</t>
  </si>
  <si>
    <t xml:space="preserve">PROTECTION TAPE TRANSPARANT 50MIC 1220MM X 200M </t>
  </si>
  <si>
    <t>SALLAC MASKING TAPE W 24MM X 27M</t>
  </si>
  <si>
    <t>SALLAC MASKING TAPE W 6MM X 27M</t>
  </si>
  <si>
    <t>SALLAC MASKING TAPE W 24MM X 21M</t>
  </si>
  <si>
    <t>SALLAC MASKING TAPE W 48MM X 21M</t>
  </si>
  <si>
    <t>SALLAC MASKING TAPE WHITE 24MM X 15M</t>
  </si>
  <si>
    <t>SALLAC MASKING TAPE W 12MM X 27M</t>
  </si>
  <si>
    <t>SAMSON CLOTH TAPE HIJAU 48MM X 25M</t>
  </si>
  <si>
    <t>SAMSON CLOTH TAPE HITAM 48MM X 5M</t>
  </si>
  <si>
    <t>SAMSON DOUBLE BLACK FOAM RELEASE HIJAU 40MM X 3M</t>
  </si>
  <si>
    <t>SAMSON DOUBLE TAPE 48MM X 8M</t>
  </si>
  <si>
    <t>SAMSON DOUBLE WHITE FOAM 3MM X 10MM X 5M</t>
  </si>
  <si>
    <t>SAMSON KRAFT TAPE 24MM X 12M</t>
  </si>
  <si>
    <t>SAMSON MASKING TAPE GREEN 10MM X 30M</t>
  </si>
  <si>
    <t>SAMSON MASKING TAPE GREEN 24MM X 20M</t>
  </si>
  <si>
    <t>SAMSON MASKING TAPE LEMON 10MM X 30M</t>
  </si>
  <si>
    <t>SAMSON MASKING TAPE RED 10MM X 30M</t>
  </si>
  <si>
    <t>SAMSON MASKING TAPE W 15MM X 2,5M</t>
  </si>
  <si>
    <t>SAMSON MASKING TAPE W 22,5MM X 45M</t>
  </si>
  <si>
    <t>SAMSON MASKING TAPE WHITE 22,5MM X 9M</t>
  </si>
  <si>
    <t>SAMSON MASKING TAPE YELLOW 10MM X 30M</t>
  </si>
  <si>
    <t>SAMSON OPP CLEAR HIJAU 48MM X 85Y</t>
  </si>
  <si>
    <t>SAMSON OPP TAPE CLEAR 45MIC 45MM X 72Y</t>
  </si>
  <si>
    <t>SAMSON OPP TAPE CLEAR 45MIC 48MM X 85Y</t>
  </si>
  <si>
    <t>SAMSON OPP TAPE CLEAR 45MIC 48MM X 100Y</t>
  </si>
  <si>
    <t>SAMSON PVC ADHESIVE WHITE 610MM X 50M</t>
  </si>
  <si>
    <t>SAMSON SAT TAPE 24MM X 32M</t>
  </si>
  <si>
    <t>SAMSON SINGLE BLACK FOAM 6MM X 30MM X 3M</t>
  </si>
  <si>
    <t>SAMSON SINGLE BLACK FOAM 6MM X 40MM X 3M</t>
  </si>
  <si>
    <t>SAMSON SINGLE BLACK FOAM 9MM X 25MM X 3M</t>
  </si>
  <si>
    <t>SAMSON SINGLE BLACK FOAM 6MM X 25MM X 2,4M</t>
  </si>
  <si>
    <t>SAMSON SINGLE BLACK FOAM 6MM X 40MM X 2,4M</t>
  </si>
  <si>
    <t>SAMSON SINGLE BLACK FOAM 6MM X 30MM X 2,4M</t>
  </si>
  <si>
    <t>SAMSON SINGLE BLACK FOAM 6MM X 25MM X 2M</t>
  </si>
  <si>
    <t>SAMSON SINGLE BLACK FOAM 6MM X 30MM X 1M</t>
  </si>
  <si>
    <t>SAMSON SINGLE BLACK FOAM 6MM X 35MM X 1M</t>
  </si>
  <si>
    <t>SAMSON SINGLE BLACK FOAM 6MM X 45MM X1M</t>
  </si>
  <si>
    <t>SAMSON SINGLE BLACK FOAM 6MM X 20MM X 3M</t>
  </si>
  <si>
    <t>SAMSON SINGLE BLACK FOAM 6MM X 25MM X 3M</t>
  </si>
  <si>
    <t>SAMSON SINGLE BLACK FOAM 6MM X 15MM X 3M</t>
  </si>
  <si>
    <t>SAMSON SINGLE BLACK FOAM 4MM X 15MM X 3M</t>
  </si>
  <si>
    <t>SAMSON SINGLE BLACK FOAM 9MM X 40MM X 3M</t>
  </si>
  <si>
    <t>SAMSON SINGLE BLACK FOAM 3MM X 40MM X 3M</t>
  </si>
  <si>
    <t>SAMSON SINGLE BLACK FOAM 3MM X 15MM X 3M</t>
  </si>
  <si>
    <t>SAMSON SINGLE BLACK FOAM 3MM X 45MM X 3M</t>
  </si>
  <si>
    <t>SAMSON SINGLE BLACK FOAM 3MM X 35MM X 3M</t>
  </si>
  <si>
    <t>SANSUI ( C ) MASKING TAPE 30MM X 8M</t>
  </si>
  <si>
    <t>SANSUI ( C ) MASKING TAPE 70MM X 8M</t>
  </si>
  <si>
    <t>SANSUI ( C ) OPP TAPE TAN 2" X 72Y</t>
  </si>
  <si>
    <t>SANSUI ( C ) OPP TAPE CLEAR 2" X 72Y</t>
  </si>
  <si>
    <t>SANSUI (B) OPP TAPE TAN 48MM X 100Y</t>
  </si>
  <si>
    <t>SANSUI ( C ) MASKING TAPE W 20,5MM X 8M</t>
  </si>
  <si>
    <t>SANSUI ( C ) MASKING TAPE W RO 41/8</t>
  </si>
  <si>
    <t>SANSUI ( C ) ALUMINIUM TAPE 2" X 30M</t>
  </si>
  <si>
    <t>SANSUI ( C ) METALIZING TAPE 48MM X 20M</t>
  </si>
  <si>
    <t>SANSUI ( C ) METALIZING TAPE 12MM X 20M</t>
  </si>
  <si>
    <t>SANSUI (B) ALUMINIUM TAPE 1" X 50Y</t>
  </si>
  <si>
    <t>SANSUI (B) ALUMINIUM TAPE 2" X 50Y</t>
  </si>
  <si>
    <t>SANSUI (B) ALUMINIUM TAPE 3" X 50Y</t>
  </si>
  <si>
    <t>SANSUI (B) ALUMINIUM TAPE 4" X 50Y</t>
  </si>
  <si>
    <t>SANSUI (B) ALUMINIUM TAPE 1000MM X 50Y</t>
  </si>
  <si>
    <t>SANSUI (B) ALUMINIUM TAPE 600MM X 50Y</t>
  </si>
  <si>
    <t>SANSUI (B) KRAFT TAPE 48MM X 15Y</t>
  </si>
  <si>
    <t>SANSUI (B) MASKING TAPE W 6MM X 21M</t>
  </si>
  <si>
    <t>SANSUI (B) MASKING TAPE W RO 48/21</t>
  </si>
  <si>
    <t>SANSUI (B) NON ADH TAPE CREAM 2" X 20M</t>
  </si>
  <si>
    <t>SANSUI (B) NON ADHESIE TAPE CREAM 2" X 25M</t>
  </si>
  <si>
    <t>SANSUI (B) NON ADHESIVE TAPE ABU-ABU 2" X 20M</t>
  </si>
  <si>
    <t>SANSUI (B) NON ADHESIVE TAPE HITAM 70MM X 22M</t>
  </si>
  <si>
    <t>SANSUI (B) OPP TAPE CLEAR 48MM X 100Y</t>
  </si>
  <si>
    <t>SANSUI (H) ALUMINIUM TAPE 1" X 40Y</t>
  </si>
  <si>
    <t>SANSUI (H) ALUMINIUM TAPE 2" X 40Y</t>
  </si>
  <si>
    <t>SANSUI (H) ALUMINIUM TAPE 3" X 40Y</t>
  </si>
  <si>
    <t>SANSUI (H) ALUMINIUM TAPE 4" X 40Y</t>
  </si>
  <si>
    <t>SANSUI (H) ALUMINIUM TAPE 1000MM X 40Y</t>
  </si>
  <si>
    <t>SANSUI (H) MASKING TAPE W 3MM X 15M</t>
  </si>
  <si>
    <t>SANSUI (H) MASKING TAPE W 4MM X 15M</t>
  </si>
  <si>
    <t>SANSUI (H) MASKING TAPE W 24MM X 15M</t>
  </si>
  <si>
    <t>SANSUI (H) MASKING TAPE W 48MM X 15M</t>
  </si>
  <si>
    <t>SANSUI (H) METALIZING TAPE 15MM X 30Y</t>
  </si>
  <si>
    <t>SANSUI (H) METALIZING TAPE 48MM X 30Y</t>
  </si>
  <si>
    <t>SANSUI (H) METALIZING TAPE 8MM X 30Y</t>
  </si>
  <si>
    <t>SANSUI (H) OPP TAPE CLEAR 45MIC 48MM X 85Y</t>
  </si>
  <si>
    <t>SANSUI (H) OPP TAPE CLEAR WHITE 45MIC 48MM X 85Y</t>
  </si>
  <si>
    <t>SANSUI (H) OPP TAPE TAN 48MM X 85Y</t>
  </si>
  <si>
    <t>SANSUI DOUBLE TAPE SOLVENT 24MM X 8M</t>
  </si>
  <si>
    <t>SANSUI DOUBLE TAPE SOLVENT 1020MM X 50M</t>
  </si>
  <si>
    <t>SANSUI DOUBLE TAPE SOLVENT 12MM X 8M</t>
  </si>
  <si>
    <t>SANSUI DOUBLE TAPE SOLVENT 6MM X 8M</t>
  </si>
  <si>
    <t>SANSUI DOUBLE TAPE SOLVENT 1020MM X 20M</t>
  </si>
  <si>
    <t>SANSUI DOUBLE TAPE SOLVENT 48MM X 8M</t>
  </si>
  <si>
    <t>SANSUI FOAM INSULATION TAPE 2" X 30FT</t>
  </si>
  <si>
    <t>SANSUI METAFOIL DOUBLE  1250MM X 60M</t>
  </si>
  <si>
    <t>SANSUI OPP PACKING TAPE COKLAT 45MIC 48MM X 72Y</t>
  </si>
  <si>
    <t>SANSUI OPP TAPE CLEAR / TAN HIJAU 48MM X 85Y</t>
  </si>
  <si>
    <t>SANSUI (H) OPP TAPE CLEAR WHITE 48MM X 85Y</t>
  </si>
  <si>
    <t>SANSUI SAT TAPE CLEAR HIJAU 12MM X 56M</t>
  </si>
  <si>
    <t>SANSUI SAT TAPE CLEAR HIJAU 24MM X 56M</t>
  </si>
  <si>
    <t>SAT PRINTED TAPE LOGO IKAN DUA WARNA MERAH WD TRANSPARANT 6MM X 50M</t>
  </si>
  <si>
    <t>SEALMAX ( C ) OPP TAPE CLEAR 45MM X 50Y</t>
  </si>
  <si>
    <t>SEALMAX ( C ) OPP TAPE CLEAR 45MIC 45MM X 60M</t>
  </si>
  <si>
    <t>SEALMAX ( C ) OPP TAPE CLEAR 2" X 72Y</t>
  </si>
  <si>
    <t>SEALMAX ( C ) OPP TAPE TAN 45MM X 50Y</t>
  </si>
  <si>
    <t>SEALMAX ( C ) OPP TAPE TAN 45MIC 45MM X 60M</t>
  </si>
  <si>
    <t>SEALMAX ( C ) OPP TAPE TAN 2" X 72Y</t>
  </si>
  <si>
    <t>SEALMAX OPP CLEAR 48MM X 80Y</t>
  </si>
  <si>
    <t>TOP ONE BIRU OPP CLEAR SL-20/100</t>
  </si>
  <si>
    <t>TOP ONE BIRU OPP CLEAR SL-20/72 45MM X 46M</t>
  </si>
  <si>
    <t>TOP ONE BIRU OPP TAN SL-20/72</t>
  </si>
  <si>
    <t>TOP ONE CLOTH TAPE HITAM 45MM X 40M</t>
  </si>
  <si>
    <t>TOP ONE CLOTH TAPE HITAM 48MM X 40M</t>
  </si>
  <si>
    <t>TOP ONE CLOTH TAPE HITAM  36MM X 7M</t>
  </si>
  <si>
    <t>TOP ONE CLOTH TAPE MERAH 45MM X 40M</t>
  </si>
  <si>
    <t>TOP ONE CLOTH TAPE SILVER 45MM X 40M</t>
  </si>
  <si>
    <t>TOP ONE DOUBLE TAPE 10MM X 10M</t>
  </si>
  <si>
    <t>TOP ONE DOUBLE TAPE 5MM X 10M</t>
  </si>
  <si>
    <t>TOP ONE DOUBLE WHITE FOAM RELEASE KOTAK 24MM X 5M</t>
  </si>
  <si>
    <t>TOP ONE FLOOR MARKING TAPE HITAM KUNING 50MM X 33M</t>
  </si>
  <si>
    <t>TOP ONE FLOOR MARKING TAPE HITAM KUNING 48MM X 33M</t>
  </si>
  <si>
    <t>TOP ONE FLOOR MARKING TAPE HITAM KUNING (POLICE LINE ADA LEM) 48MM X 33M</t>
  </si>
  <si>
    <t>TOP ONE FLOOR MARKING TAPE HITAM KUNING (POLICE LINE TANPA LEM) 48MM X 250M</t>
  </si>
  <si>
    <t>TOP ONE HIJAU OPP CLEAR SL-20/90 45MM X 56M</t>
  </si>
  <si>
    <t>TOP ONE HIJAU OPP TAN SL-20/90</t>
  </si>
  <si>
    <t>TOP ONE KRAFT TAPE 24MM X 12M</t>
  </si>
  <si>
    <t>TOP ONE LOGO ANINDYA 48MIC WARNA DASAR : TRANSPARANT, WARNA CETAKAN : BIRU 25MM X 50Y</t>
  </si>
  <si>
    <t>TOP ONE MERAH OPP CELAR 38MIC 48MM X 71M</t>
  </si>
  <si>
    <t>TOP ONE MERAH OPP CLEAR 40MIC 45MM X 80Y</t>
  </si>
  <si>
    <t>TOP ONE MERAH OPP CLEAR 40MIC 48MM X 80Y</t>
  </si>
  <si>
    <t>TOP ONE MERAH OPP CLEAR 43MIC 45MM X 72Y (65M)</t>
  </si>
  <si>
    <t>TOP ONE MERAH OPP CLEAR SL-20/100 45MM X 71M</t>
  </si>
  <si>
    <t>TOP ONE MERAH OPP CLEAR WHITE SL-20/100 45MM X 71M</t>
  </si>
  <si>
    <t>TOP ONE MERAH OPP TAN SL-20/100 45MM X 71M</t>
  </si>
  <si>
    <t xml:space="preserve">TOP ONE MERAH OPP TAN 40MIC 45MM X 72M </t>
  </si>
  <si>
    <t>TOP ONE MERAH OPP TAN 43MIC 45MM X 67</t>
  </si>
  <si>
    <t>TOP ONE MERAH OPP TAN 43MIC 45MM X 72Y (65M)</t>
  </si>
  <si>
    <t>TOP ONE OPP CLEAR 45MIC 72MM X 400M</t>
  </si>
  <si>
    <t>TOP ONE OPP PRINTED TAPE LOGO : CAUTION TAMPER PROOF WARNA DASAR : TRANSPARANT  CETAKAN : WARNA MERAH 72MM X 72Y</t>
  </si>
  <si>
    <t>TOP ONE OPP PRINTED TAPE 48MIC 48MM X 50Y</t>
  </si>
  <si>
    <t>TOP ONE OPP PRINTED TAPE LOGO FRAGILE / NASHUA TOP 1 OPP TAPE FRAGILE 48MM X 60M</t>
  </si>
  <si>
    <t>TOP ONE OPP PRINTED TAPE LOGO JANGAN DIBANTING WD : PUTIH SUSU CETAKAN : WRN MERAH 48MM X 60M</t>
  </si>
  <si>
    <t>TOP ONE OPP PRINTED TAPE PUTIH 48MIC 48MM X 50Y</t>
  </si>
  <si>
    <t>TOP ONE OPP TAPE BLOK BIRU 48MM X 50Y</t>
  </si>
  <si>
    <t>TOP ONE OPP TAPE BLOK HIJAU 48MM X 50Y</t>
  </si>
  <si>
    <t>TOP ONE OPP TAPE BLOK KUNING 48MM X 50Y</t>
  </si>
  <si>
    <t>TOP ONE OPP TAPE BLOK MERAH 48MM X 50Y</t>
  </si>
  <si>
    <t>TOP ONE OPP TAPE BLOK ORANGE 48MM X 50Y</t>
  </si>
  <si>
    <t>TOP ONE OPP TAPE BLOK PUTIH 48MM X 50Y</t>
  </si>
  <si>
    <t>TOP ONE OPP TAPE CLEAR JUMBO SL 20/500</t>
  </si>
  <si>
    <t>TOP ONE OPP TAPE CLEAR MERAH SL 20/100</t>
  </si>
  <si>
    <t>TOP ONE PRINTED TAPE  48MIC LOGO : KANTOR POS  WARNA DASAR : MERAH KEORANGE-NAN  TULISAN : PUTIH SUSU 48MM X 80M</t>
  </si>
  <si>
    <t>HARGA PER 31/08/2023</t>
  </si>
  <si>
    <t>HARGA BARU 31/05/2024</t>
  </si>
  <si>
    <t>HARGA BARU PER MEI 2023</t>
  </si>
  <si>
    <t>HARGA PER JUNI 2023</t>
  </si>
  <si>
    <t>HARGA BARU MEI 2024</t>
  </si>
  <si>
    <t>HARGA BARU FEBRUARI 2025</t>
  </si>
  <si>
    <t>KEDUA</t>
  </si>
  <si>
    <t>NASHUA G2 OPP TAPE TAN 43MIC 48MM X 80Y</t>
  </si>
  <si>
    <t>NASHUA G2 OPP TAPE CLEAR 43MIC SAT 24MM X 72Y</t>
  </si>
  <si>
    <t>NASHUA G2 OPP TAPE CLEAR 43MIC SAT 12MM X 72Y</t>
  </si>
  <si>
    <t>NASHUA G2 OPP TAPE CLEAR 43MIC 12MM X 80Y</t>
  </si>
  <si>
    <t>NASHUA G2 OPP TAPE CLEAR 43MIC 24MM X 80Y</t>
  </si>
  <si>
    <t>NASHUA G2 OPP TAPE CLEAR 43MIC 48MM X 80Y</t>
  </si>
  <si>
    <t>NASHUA G2 TOP CLEAR 43MIC 24MM X 80Y</t>
  </si>
  <si>
    <t>NASHUA MASKING TAPE TAN 48MIC 48MM X 81M</t>
  </si>
  <si>
    <t>PERUBAHAN HARGA TGL 06/06/2023</t>
  </si>
  <si>
    <t>HARGA BARU TOKO NASHUA 29/06/2024</t>
  </si>
  <si>
    <t>HARGA BARU PER 26 SEPT 2024 JKT &amp; AGUSTINUS</t>
  </si>
  <si>
    <t>harga baru per 22/08/2023</t>
  </si>
  <si>
    <t>HARGA PER 03 JUL 2023</t>
  </si>
  <si>
    <t>KETIGA</t>
  </si>
  <si>
    <t>HARGA PER 13/05/2024</t>
  </si>
  <si>
    <t>KE EMPAT</t>
  </si>
  <si>
    <t>HARGA PER 27 JUNI 2024 JKT &amp; AGUSTINUS</t>
  </si>
  <si>
    <t>NASHUA TOP ONE ALUMINIUM TAPE 45MM X 20Y</t>
  </si>
  <si>
    <t>KELIMA</t>
  </si>
  <si>
    <t>HARGA PER 30/11/2023 U/ BARANG CONTAINER</t>
  </si>
  <si>
    <t>HARGA PER 27 JUNI 2024 SBY</t>
  </si>
  <si>
    <t>HARGA PER 10 OKTOBER 2023</t>
  </si>
  <si>
    <t>UPDATE HARGA PER 30 DES 2023</t>
  </si>
  <si>
    <t>HARGA PER SEPT 2023</t>
  </si>
  <si>
    <t>HARGA PER NOV 2023</t>
  </si>
  <si>
    <t>HARGA BU FIFI PER OKTOBER</t>
  </si>
  <si>
    <t>HARGA BARU 31/08/2024</t>
  </si>
  <si>
    <t>PERUBAHAN HARGA PER 06/06/2023</t>
  </si>
  <si>
    <t>HARGA PER 26 SEPT 2024 JKT &amp; AGUSTINUS</t>
  </si>
  <si>
    <t>HARGA 2021</t>
  </si>
  <si>
    <t>HARGA BARU PER JANUARI 2025</t>
  </si>
  <si>
    <t>PERUBAHAN HARGA PER 6 JUNI 2023</t>
  </si>
  <si>
    <t>PERUBAHAN HARGA PER 6 JUNI 2024</t>
  </si>
  <si>
    <t>HARGA PER MEI 2023</t>
  </si>
  <si>
    <t>HARGA BARU MARET 2024</t>
  </si>
  <si>
    <t>harga per maret 2024</t>
  </si>
  <si>
    <t>SANSUI (H) OPP TAPE CLEAR WHITE 48MM X 500M</t>
  </si>
  <si>
    <t>HARGA BARU JULI 2024</t>
  </si>
  <si>
    <t>HARGA PER 23/02/2024</t>
  </si>
  <si>
    <t>HARGA UPDATE MEI 2023</t>
  </si>
  <si>
    <t>HARGA BARU MARET 2025</t>
  </si>
  <si>
    <t>HARGA PER 31 JULI 2023</t>
  </si>
  <si>
    <t>HARGA TERBARU OKT 2023</t>
  </si>
  <si>
    <t>KODE BARANG</t>
  </si>
  <si>
    <t>NAAL4825</t>
  </si>
  <si>
    <t>NAAL7225</t>
  </si>
  <si>
    <t>NAAL4830</t>
  </si>
  <si>
    <t>NAAL4850</t>
  </si>
  <si>
    <t>NAAL9625</t>
  </si>
  <si>
    <t>NAAL9630</t>
  </si>
  <si>
    <t>NAAL7230</t>
  </si>
  <si>
    <t>NAFD125RH</t>
  </si>
  <si>
    <t>NAFD245RH</t>
  </si>
  <si>
    <t>NAFD485RH</t>
  </si>
  <si>
    <t>NAFD2020RH</t>
  </si>
  <si>
    <t>NAFD2010RH</t>
  </si>
  <si>
    <t>SANSUI (B) MASKING TAPE W WARNA PUTIH BAHAN PENDEK 24MM X 21M</t>
  </si>
  <si>
    <t>NASHUA MASKING TAPE Y 20,5MM X 10M</t>
  </si>
  <si>
    <t>NASHUA TOP1 CLOTH TAPE BIRU 46MM X 5Y</t>
  </si>
  <si>
    <t>NASHUA TOP1 CLOTH TAPE KUNING 35MM X 10M</t>
  </si>
  <si>
    <t>NASHUA TOP1 CLOTH TAPE BIRU 35MM X 10M</t>
  </si>
  <si>
    <t>NASHUA TOP1 CLOTH TAPE BIRU 46MM X 10M</t>
  </si>
  <si>
    <t>NASHUA TOP ONE MASKING TAPE NATURAL 48MM X 20Y</t>
  </si>
  <si>
    <t>HARGA BARU 28/05/2025</t>
  </si>
  <si>
    <t>NASHUA XTRA MASKING TAPE WAYANG Y 24MM X 35M</t>
  </si>
  <si>
    <t>NASHUA MASKING TAPE Y 22.5MM X 12.5M</t>
  </si>
  <si>
    <t>NASHUA MASKING TAPE Y 45MM X 12.5M</t>
  </si>
  <si>
    <t>KOAL4836</t>
  </si>
  <si>
    <t>MMMT152</t>
  </si>
  <si>
    <t>MMNA220C</t>
  </si>
  <si>
    <t>NAAL10025</t>
  </si>
  <si>
    <t>NADT10150</t>
  </si>
  <si>
    <t>NAMT4815</t>
  </si>
  <si>
    <t>NAMT2415</t>
  </si>
  <si>
    <t>NADT1250</t>
  </si>
  <si>
    <t>NADT1213</t>
  </si>
  <si>
    <t>NADT4813</t>
  </si>
  <si>
    <t>NADT2413</t>
  </si>
  <si>
    <t>NAFD245W</t>
  </si>
  <si>
    <t>NADU4845HT</t>
  </si>
  <si>
    <t>NADU4825HT</t>
  </si>
  <si>
    <t>NADU4825KU</t>
  </si>
  <si>
    <t>NADU2425</t>
  </si>
  <si>
    <t>NADU4825</t>
  </si>
  <si>
    <t>NADU4845</t>
  </si>
  <si>
    <t>NADU7225</t>
  </si>
  <si>
    <t>NADU7243</t>
  </si>
  <si>
    <t>NADU10045</t>
  </si>
  <si>
    <t>NAGDH2410A</t>
  </si>
  <si>
    <t>NAGDH2445A</t>
  </si>
  <si>
    <t>NGMT2421W</t>
  </si>
  <si>
    <t>NGMT3515W</t>
  </si>
  <si>
    <t>NGMT2415W</t>
  </si>
  <si>
    <t>NGMT2425</t>
  </si>
  <si>
    <t>NGMT2415</t>
  </si>
  <si>
    <t>NGMT4815</t>
  </si>
  <si>
    <t>NGMT4825</t>
  </si>
  <si>
    <t>NGOP4872C43</t>
  </si>
  <si>
    <t>NGOP2480C43</t>
  </si>
  <si>
    <t>NGOP1275C43</t>
  </si>
  <si>
    <t>NGOP1265C43</t>
  </si>
  <si>
    <t>NGOP2465C43</t>
  </si>
  <si>
    <t>NGOP4865C43</t>
  </si>
  <si>
    <t>CBMNADH</t>
  </si>
  <si>
    <t>CBNAUNI</t>
  </si>
  <si>
    <t>CBNAOP</t>
  </si>
  <si>
    <t>NAMT187</t>
  </si>
  <si>
    <t>NAMT0610</t>
  </si>
  <si>
    <t>NAMT1210</t>
  </si>
  <si>
    <t>NAMT2010</t>
  </si>
  <si>
    <t>NAMT4110</t>
  </si>
  <si>
    <t>NAMT1215</t>
  </si>
  <si>
    <t>NAMT9615</t>
  </si>
  <si>
    <t>NAMT2212</t>
  </si>
  <si>
    <t>NAMT4512</t>
  </si>
  <si>
    <t>NAMT2425</t>
  </si>
  <si>
    <t>NAMT4825</t>
  </si>
  <si>
    <t>NAMT1220</t>
  </si>
  <si>
    <t>NAMT2420</t>
  </si>
  <si>
    <t>NAMT4820</t>
  </si>
  <si>
    <t>NAMT530</t>
  </si>
  <si>
    <t>NAMT1830</t>
  </si>
  <si>
    <t>NAMT2430</t>
  </si>
  <si>
    <t>NAMT4830</t>
  </si>
  <si>
    <t>NAMT7230</t>
  </si>
  <si>
    <t>NAMT1840</t>
  </si>
  <si>
    <t>NAMT2440</t>
  </si>
  <si>
    <t>NAMT4840</t>
  </si>
  <si>
    <t>NAMT7220</t>
  </si>
  <si>
    <t>NAMT1810</t>
  </si>
  <si>
    <t>NAMT2430PR</t>
  </si>
  <si>
    <t>NAMT4830PR</t>
  </si>
  <si>
    <t>SHAL4836</t>
  </si>
  <si>
    <t>SHAL2436</t>
  </si>
  <si>
    <t>SHAL9636</t>
  </si>
  <si>
    <t>SHAL7236</t>
  </si>
  <si>
    <t>CBNX205</t>
  </si>
  <si>
    <t>CBTOP335</t>
  </si>
  <si>
    <t>CBNSP24</t>
  </si>
  <si>
    <t>MALT4825</t>
  </si>
  <si>
    <t>MDT919</t>
  </si>
  <si>
    <t>MMMT152Y</t>
  </si>
  <si>
    <t>MMNA220A</t>
  </si>
  <si>
    <t>CBSH75</t>
  </si>
  <si>
    <t>CBNAL275</t>
  </si>
  <si>
    <t>CBNAGOP</t>
  </si>
  <si>
    <t>CBNXOP445</t>
  </si>
  <si>
    <t>NAGFT2425</t>
  </si>
  <si>
    <t>NGOP4875T43</t>
  </si>
  <si>
    <t>NGOP2475C43</t>
  </si>
  <si>
    <t>NAMT4881T48</t>
  </si>
  <si>
    <t>NAMT2420W</t>
  </si>
  <si>
    <t>PRN4881</t>
  </si>
  <si>
    <t>PRN4865</t>
  </si>
  <si>
    <t>NAOP72</t>
  </si>
  <si>
    <t>NAOP2481</t>
  </si>
  <si>
    <t>NAOP7281</t>
  </si>
  <si>
    <t>NAOP4872C47</t>
  </si>
  <si>
    <t>NAOP4881C47</t>
  </si>
  <si>
    <t>NAOP4872T47</t>
  </si>
  <si>
    <t>NAOP4881T</t>
  </si>
  <si>
    <t>NAOP4881T48</t>
  </si>
  <si>
    <t>NATOAL4518</t>
  </si>
  <si>
    <t>NTCT234HI</t>
  </si>
  <si>
    <t>NTCT355YHI</t>
  </si>
  <si>
    <t>NTCT465YHI</t>
  </si>
  <si>
    <t>NTCT4610YHI</t>
  </si>
  <si>
    <t>NTCT4610MHI</t>
  </si>
  <si>
    <t>NTCT3510HI</t>
  </si>
  <si>
    <t>NTCT2310HI</t>
  </si>
  <si>
    <t>NTCT4612HI</t>
  </si>
  <si>
    <t>NTCT3512HI</t>
  </si>
  <si>
    <t>NTCT2312HI</t>
  </si>
  <si>
    <t>NTCT465YBI</t>
  </si>
  <si>
    <t>NTCT4610MKU</t>
  </si>
  <si>
    <t>NTCT3510MKU</t>
  </si>
  <si>
    <t>NTCT3510MBI</t>
  </si>
  <si>
    <t>NTCT4610MBI</t>
  </si>
  <si>
    <t>NTCT235YME</t>
  </si>
  <si>
    <t>NTCT355YME</t>
  </si>
  <si>
    <t>NTCT465YME</t>
  </si>
  <si>
    <t>NTDT510YM</t>
  </si>
  <si>
    <t>NTMT618YBEI</t>
  </si>
  <si>
    <t>NTMT1218YW</t>
  </si>
  <si>
    <t>NTMT4818YW</t>
  </si>
  <si>
    <t>NTMT4810W</t>
  </si>
  <si>
    <t>NTMT2410W</t>
  </si>
  <si>
    <t>NTMT2420YW</t>
  </si>
  <si>
    <t>NTMT4820YW</t>
  </si>
  <si>
    <t>NTOP4565C</t>
  </si>
  <si>
    <t>NTOP4881C</t>
  </si>
  <si>
    <t>NTOP4881CW</t>
  </si>
  <si>
    <t>NTOP4565T</t>
  </si>
  <si>
    <t>NTOP4881T</t>
  </si>
  <si>
    <t>NXDT3640</t>
  </si>
  <si>
    <t>NXMT2421</t>
  </si>
  <si>
    <t>NXMT2435</t>
  </si>
  <si>
    <t>NXMT243R</t>
  </si>
  <si>
    <t>NXMT123R</t>
  </si>
  <si>
    <t>NXMT2421W</t>
  </si>
  <si>
    <t>NXMT4821W</t>
  </si>
  <si>
    <t>NXMT1221W</t>
  </si>
  <si>
    <t>NXMT2435W</t>
  </si>
  <si>
    <t>NXMT4815W</t>
  </si>
  <si>
    <t>NXMT2415W</t>
  </si>
  <si>
    <t>NXMT2415Y</t>
  </si>
  <si>
    <t>NXMT4815Y</t>
  </si>
  <si>
    <t>NXMT2421Y</t>
  </si>
  <si>
    <t>NXMT4821Y</t>
  </si>
  <si>
    <t>NXMT2435Y</t>
  </si>
  <si>
    <t>NXMT2010Y</t>
  </si>
  <si>
    <t>NXMT3650Y</t>
  </si>
  <si>
    <t>NXMT36100Y</t>
  </si>
  <si>
    <t>NXMT3621Y</t>
  </si>
  <si>
    <t>NXMT4835Y</t>
  </si>
  <si>
    <t>NXOPT4881C</t>
  </si>
  <si>
    <t>NSCT4810BI</t>
  </si>
  <si>
    <t>NSCT2410BI</t>
  </si>
  <si>
    <t>NSCT4810CR</t>
  </si>
  <si>
    <t>NSCT4825CR</t>
  </si>
  <si>
    <t>NSCT2415HIJ</t>
  </si>
  <si>
    <t>NSCT4810HIJ</t>
  </si>
  <si>
    <t>NSCT2410HI</t>
  </si>
  <si>
    <t>NSCT485HI</t>
  </si>
  <si>
    <t>NSCT4810HI</t>
  </si>
  <si>
    <t>NSCT4810KU</t>
  </si>
  <si>
    <t>NSCT4810ME</t>
  </si>
  <si>
    <t>NSCT485ME</t>
  </si>
  <si>
    <t>NSCT2410ME</t>
  </si>
  <si>
    <t>NSCT4810W</t>
  </si>
  <si>
    <t>NSCT2410W</t>
  </si>
  <si>
    <t>NSMT521</t>
  </si>
  <si>
    <t>NSMT4830</t>
  </si>
  <si>
    <t>NSCT1021</t>
  </si>
  <si>
    <t>NSMT1018</t>
  </si>
  <si>
    <t>PRN7690</t>
  </si>
  <si>
    <t>PRN7290</t>
  </si>
  <si>
    <t>SLMT2427</t>
  </si>
  <si>
    <t>SLMT0627</t>
  </si>
  <si>
    <t>SLMT2421</t>
  </si>
  <si>
    <t>SLMT4821</t>
  </si>
  <si>
    <t>SLMT2415</t>
  </si>
  <si>
    <t>SLMT1227</t>
  </si>
  <si>
    <t>SACT2410HT</t>
  </si>
  <si>
    <t>SACT4825HIJ</t>
  </si>
  <si>
    <t>SADT488</t>
  </si>
  <si>
    <t>SAFD483RH</t>
  </si>
  <si>
    <t>SADT105</t>
  </si>
  <si>
    <t>SKT2412</t>
  </si>
  <si>
    <t>SAMT1030HIJ</t>
  </si>
  <si>
    <t>SAMT2420HIJ</t>
  </si>
  <si>
    <t>SAMT1030KU</t>
  </si>
  <si>
    <t>SAMT1030ME</t>
  </si>
  <si>
    <t>SAMT152W</t>
  </si>
  <si>
    <t>SAMT2245W</t>
  </si>
  <si>
    <t>SAMT229W</t>
  </si>
  <si>
    <t>SAOP4885Y</t>
  </si>
  <si>
    <t>SAOP4572Y45C</t>
  </si>
  <si>
    <t>SAOP4885Y45C</t>
  </si>
  <si>
    <t>SAFS6303B</t>
  </si>
  <si>
    <t>SAFS6403B</t>
  </si>
  <si>
    <t>SAFS9253B</t>
  </si>
  <si>
    <t>SAFS6252B</t>
  </si>
  <si>
    <t>SAFS6402B</t>
  </si>
  <si>
    <t>NAMTZF1280100</t>
  </si>
  <si>
    <t>NXMTZF1280100</t>
  </si>
  <si>
    <t>SHOP4877CW</t>
  </si>
  <si>
    <t>SCMT308</t>
  </si>
  <si>
    <t>SCMT708</t>
  </si>
  <si>
    <t>SBOP4890</t>
  </si>
  <si>
    <t>SCMT208</t>
  </si>
  <si>
    <t>SCAL4830</t>
  </si>
  <si>
    <t>SCMZ4820</t>
  </si>
  <si>
    <t>SCMZ1220</t>
  </si>
  <si>
    <t>SBAL2445</t>
  </si>
  <si>
    <t>SBAL4845</t>
  </si>
  <si>
    <t>SBAL7245</t>
  </si>
  <si>
    <t>SBAL9645</t>
  </si>
  <si>
    <t>SBAL-45</t>
  </si>
  <si>
    <t>SBAL60045</t>
  </si>
  <si>
    <t>SBKT4814</t>
  </si>
  <si>
    <t>SBMT621W</t>
  </si>
  <si>
    <t>SBNA220C</t>
  </si>
  <si>
    <t>SBNA225C</t>
  </si>
  <si>
    <t>SBNA7022HI</t>
  </si>
  <si>
    <t>SHAL-36</t>
  </si>
  <si>
    <t>SHMT315W</t>
  </si>
  <si>
    <t>SHMT415W</t>
  </si>
  <si>
    <t>SHMT2415W</t>
  </si>
  <si>
    <t>SHMT4815W</t>
  </si>
  <si>
    <t>SHMT1527</t>
  </si>
  <si>
    <t>SHMT4827</t>
  </si>
  <si>
    <t>SHMT827</t>
  </si>
  <si>
    <t>SHOP4877T</t>
  </si>
  <si>
    <t>SADT248S</t>
  </si>
  <si>
    <t>SADT128S</t>
  </si>
  <si>
    <t>SADT68S</t>
  </si>
  <si>
    <t>SADT488S</t>
  </si>
  <si>
    <t>SADT-20S</t>
  </si>
  <si>
    <t>SADT68SS</t>
  </si>
  <si>
    <t>SHOP48500CW</t>
  </si>
  <si>
    <t>SAST125C</t>
  </si>
  <si>
    <t>SAST2456C</t>
  </si>
  <si>
    <t>SHSTCW</t>
  </si>
  <si>
    <t>PRN650</t>
  </si>
  <si>
    <t>SMOP4865C</t>
  </si>
  <si>
    <t>SMOP4865T</t>
  </si>
  <si>
    <t>SMOP4560C</t>
  </si>
  <si>
    <t>SMOP4545C</t>
  </si>
  <si>
    <t>SMOP4545T</t>
  </si>
  <si>
    <t>SMOP4560T</t>
  </si>
  <si>
    <t>SMOP4872C</t>
  </si>
  <si>
    <t>TOCT4540HI</t>
  </si>
  <si>
    <t>TOCT4840HI</t>
  </si>
  <si>
    <t>TOCT367HI</t>
  </si>
  <si>
    <t>TOCT4540ME</t>
  </si>
  <si>
    <t>TOCT4540SIL</t>
  </si>
  <si>
    <t>TODT510</t>
  </si>
  <si>
    <t>TODT1010</t>
  </si>
  <si>
    <t>TOPA4833HK</t>
  </si>
  <si>
    <t>TOPA5033HK</t>
  </si>
  <si>
    <t>TOFD2425RK</t>
  </si>
  <si>
    <t>TOPA48250HK</t>
  </si>
  <si>
    <t>PRN2545</t>
  </si>
  <si>
    <t>PRN7265</t>
  </si>
  <si>
    <t>PRN4845</t>
  </si>
  <si>
    <t>PRN4860</t>
  </si>
  <si>
    <t>PRN4880</t>
  </si>
  <si>
    <t>SBMT2421</t>
  </si>
  <si>
    <t>PR0003</t>
  </si>
  <si>
    <t>PR0006</t>
  </si>
  <si>
    <t>PL48250HK</t>
  </si>
  <si>
    <t>SBMT1221</t>
  </si>
  <si>
    <t>SFI1568</t>
  </si>
  <si>
    <t>TOOPSL-100C</t>
  </si>
  <si>
    <t>SCOP4865T</t>
  </si>
  <si>
    <t>SCOP4865C</t>
  </si>
  <si>
    <t>SBMT4821</t>
  </si>
  <si>
    <t>SBTA4820ADH</t>
  </si>
  <si>
    <t>NTDH2210YA</t>
  </si>
  <si>
    <t>NTDH1010YA</t>
  </si>
  <si>
    <t>NTDH4610YA</t>
  </si>
  <si>
    <t>NTFD245RH</t>
  </si>
  <si>
    <t>NTFD125RH</t>
  </si>
  <si>
    <t>NTFD485RH</t>
  </si>
  <si>
    <t>NXOP4881T</t>
  </si>
  <si>
    <t>SANSUI (H) SAT TAPE CLEAR WHITE 12MM X 56M</t>
  </si>
  <si>
    <t>SANSUI (H) SAT TAPE CLEAR WHITE 24MM X 56M</t>
  </si>
  <si>
    <t>SANSUI (B) MASKING TAPE W 24MM X 21M</t>
  </si>
  <si>
    <t>SANSUI (B) MASKING TAPE W 12MM X 21M</t>
  </si>
  <si>
    <t>SHOP1256CW</t>
  </si>
  <si>
    <t>SBDT-50</t>
  </si>
  <si>
    <t>NTMT2416W</t>
  </si>
  <si>
    <t>NAAL90100</t>
  </si>
  <si>
    <t>NASHUA ALUMINIUM TAPE 72MM X 30M</t>
  </si>
  <si>
    <t>NASHUA ALUMINIUM TAPE 90MM X 100M</t>
  </si>
  <si>
    <t>HARGA TERBARU PER 13/08/2025</t>
  </si>
  <si>
    <t>NAAL90500</t>
  </si>
  <si>
    <t>NASHUA ALUMINIUM TAPE 90MM X 500M</t>
  </si>
  <si>
    <t>NASHUA XTRA MASKING TAPE WHITE 12MM X 21M</t>
  </si>
  <si>
    <t>NASHUA MASKING TAPE ORANGE 9MM X 10M</t>
  </si>
  <si>
    <t>NASHUA MASKING TAPE ORANGE 24MM X 10M</t>
  </si>
  <si>
    <t>NASHUA MASKING TAPE ORANGE 48MM X 10M</t>
  </si>
  <si>
    <t>HARGA TERBARU PER 30/09/2025</t>
  </si>
  <si>
    <t>NASHUA MASKING TAPE MERAH 9MM X 10M</t>
  </si>
  <si>
    <t>NASHUA MASKING TAPE MERAH 24MM X 10M</t>
  </si>
  <si>
    <t>NASHUA MASKING TAPE HIJAU 9MM X 10M</t>
  </si>
  <si>
    <t>NASHUA MASKING TAPE HIJAU 24MM X 10M</t>
  </si>
  <si>
    <t>NASHUA KRAFT PAPER TAPE 48MM X 15Y</t>
  </si>
  <si>
    <t>NASHUA TOP1 METALIZE 48MM X 20M</t>
  </si>
  <si>
    <t>NASHUA TOP1 MAGIC TAPE 24MM X 3M</t>
  </si>
  <si>
    <t>NXMT950Y</t>
  </si>
  <si>
    <t>NASHUA XTRA MASKING TAPE Y 9MM X 50M</t>
  </si>
  <si>
    <t>NAMT950</t>
  </si>
  <si>
    <t>NASHUA MASKING TAPE Y 9MM X 50M</t>
  </si>
  <si>
    <t>NASHUA MASKING TAPE Y 22,5MM X 12,5M</t>
  </si>
  <si>
    <t>UNTUK HARGA SBY</t>
  </si>
  <si>
    <t>NASHUA TOP1 ALUMINIUM TAPE 45MM X 20Y</t>
  </si>
  <si>
    <t>NTMZ4820</t>
  </si>
  <si>
    <t>NAKR4813</t>
  </si>
  <si>
    <t>NAFI4809</t>
  </si>
  <si>
    <t>NASHUA FOAM INSULATION TAPE 48MM X 30FT</t>
  </si>
  <si>
    <t>NASHUA TOP1 OPP PRINTED LOGO FRAGILE 48MM X 60M</t>
  </si>
  <si>
    <t>NTMG2403</t>
  </si>
  <si>
    <t>NAMT0910-AO</t>
  </si>
  <si>
    <t>NAMT2410-AO</t>
  </si>
  <si>
    <t>NAMT4810-AO</t>
  </si>
  <si>
    <t>NAMT0910-AR</t>
  </si>
  <si>
    <t>NAMT2410-AR</t>
  </si>
  <si>
    <t>NAMT0910-AG</t>
  </si>
  <si>
    <t>NAMT2410-AG</t>
  </si>
  <si>
    <t>NTOP1265C43</t>
  </si>
  <si>
    <t>NTOP2465C43</t>
  </si>
  <si>
    <t>NASHUA TOP1 METALIZING 12MM X 20M</t>
  </si>
  <si>
    <t>NASHUA TOP1 BLOK MERAH 6MM X 50Y</t>
  </si>
  <si>
    <t>NASHUA TOP1 BLOK MERAH 12MM X 50Y</t>
  </si>
  <si>
    <t>NASHUA TOP1 BLOK MERAH 24MM X 50Y</t>
  </si>
  <si>
    <t>NASHUA TOP1 BLOK KUNING 6MM X 50Y</t>
  </si>
  <si>
    <t>NASHUA TOP1 BLOK KUNING 12MM X 50Y</t>
  </si>
  <si>
    <t>NASHUA TOP1 BLOK KUNING 24MM X 50Y</t>
  </si>
  <si>
    <t>NASHUA TOP1 BLOK HIJAU 6MM X 50Y</t>
  </si>
  <si>
    <t>NASHUA TOP1 BLOK HIJAU 12MM X 50Y</t>
  </si>
  <si>
    <t>NASHUA TOP1 BLOK HIJAU 24MM X 50Y</t>
  </si>
  <si>
    <t>NASHUA TOP1 BLOK BIRU 6MM X 50Y</t>
  </si>
  <si>
    <t>NASHUA TOP1 BLOK BIRU 12MM X 50Y</t>
  </si>
  <si>
    <t>NASHUA TOP1 BLOK BIRU 24MM X 50Y</t>
  </si>
  <si>
    <t>NASHUA TOP1 BLOK PUTIH 6MM X 50Y</t>
  </si>
  <si>
    <t>NASHUA TOP1 BLOK PUTIH 12MM X 50Y</t>
  </si>
  <si>
    <t>NASHUA TOP1 BLOK PUTIH 24MM X 50Y</t>
  </si>
  <si>
    <t>NASHUA TOP1 BLOK ORANGE 6MM X 50Y</t>
  </si>
  <si>
    <t>NASHUA TOP1 BLOK ORANGE 12MM X 50Y</t>
  </si>
  <si>
    <t>NASHUA TOP1 BLOK ORANGE 24MM X 50Y</t>
  </si>
  <si>
    <t>NASHUA MASKING TAPE MERAH 6MM X 10M</t>
  </si>
  <si>
    <t>NASHUA MASKING TAPE MERAH 12MM X 10M</t>
  </si>
  <si>
    <t>NASHUA MASKING TAPE MERAH 18MM X 10M</t>
  </si>
  <si>
    <t>NASHUA MASKING TAPE HIJAU 6MM X 10M</t>
  </si>
  <si>
    <t>NASHUA MASKING TAPE HIJAU 12MM X 10M</t>
  </si>
  <si>
    <t>NASHUA MASKING TAPE HIJAU 18MM X 10M</t>
  </si>
  <si>
    <t>NASHUA MASKING TAPE ORANGE 6MM X 10M</t>
  </si>
  <si>
    <t>NASHUA MASKING TAPE ORANGE 18MM X 10M</t>
  </si>
  <si>
    <t>NTST2445-C43</t>
  </si>
  <si>
    <t>NXOP4881CW</t>
  </si>
  <si>
    <t>SBDT248</t>
  </si>
  <si>
    <t>NTDH510YA</t>
  </si>
  <si>
    <t>NTMT2418W</t>
  </si>
  <si>
    <t>NTMT1216W</t>
  </si>
  <si>
    <t>NTOP4565C43</t>
  </si>
  <si>
    <t>NTOP4565T43</t>
  </si>
  <si>
    <t>NTOP4881CW45</t>
  </si>
  <si>
    <t>NSCT2410PU</t>
  </si>
  <si>
    <t>NSCT2410HT</t>
  </si>
  <si>
    <t>NSCT4810HT</t>
  </si>
  <si>
    <t>NSCT4810PU</t>
  </si>
  <si>
    <t>NTPR0645-BI</t>
  </si>
  <si>
    <t>NTPR1245-BI</t>
  </si>
  <si>
    <t>NTPR2445-BI</t>
  </si>
  <si>
    <t>NTPR0645-HJ</t>
  </si>
  <si>
    <t>NTPR1245-HJ</t>
  </si>
  <si>
    <t>NTPR2445-HJ</t>
  </si>
  <si>
    <t>NTPR0645-KU</t>
  </si>
  <si>
    <t>NTPR1245-KU</t>
  </si>
  <si>
    <t>NTPR2445-KU</t>
  </si>
  <si>
    <t>NTPR0645-ME</t>
  </si>
  <si>
    <t>NTPR1245-ME</t>
  </si>
  <si>
    <t>NTPR2445-ME</t>
  </si>
  <si>
    <t>NTPR0645-OR</t>
  </si>
  <si>
    <t>NTPR1245-OR</t>
  </si>
  <si>
    <t>NTPR2445-OR</t>
  </si>
  <si>
    <t>NTPR0645-PU</t>
  </si>
  <si>
    <t>NTPR1245-PU</t>
  </si>
  <si>
    <t>NTPR2445-PU</t>
  </si>
  <si>
    <t>NTMZ1220</t>
  </si>
  <si>
    <t>NAMT0610-AR</t>
  </si>
  <si>
    <t>NAMT1210-AR</t>
  </si>
  <si>
    <t>NAMT1810-AR</t>
  </si>
  <si>
    <t>NAMT0610-AG</t>
  </si>
  <si>
    <t>NAMT1210-AG</t>
  </si>
  <si>
    <t>NAMT1810-AG</t>
  </si>
  <si>
    <t>NAMT0610-AO</t>
  </si>
  <si>
    <t>NAMT1810-AO</t>
  </si>
  <si>
    <t>NAKR2413</t>
  </si>
  <si>
    <t>NASHUA KRAFT PAPER TAPE 24MM X 13,5M (2" X 15Y)</t>
  </si>
  <si>
    <t>SHOP2456CW</t>
  </si>
  <si>
    <t>SAMT152WKC</t>
  </si>
  <si>
    <t>NTAL4518</t>
  </si>
  <si>
    <t>NASHUA TOP1 MASKING TAPE NATURAL 48MM X 20Y</t>
  </si>
  <si>
    <t>NTMT4818W</t>
  </si>
  <si>
    <t>NASHUA BOPP TAPE CLEAR WHITE 48MM X 72M (2 IN 80Y) 47MIC</t>
  </si>
  <si>
    <t>NAOP4872-BW47</t>
  </si>
  <si>
    <t>NASHUA XTRA MASKING TAPE Y WAYANG 24MM X 21M</t>
  </si>
  <si>
    <t>NASHUA XTRA MASKING TAPE Y WAYANG 24MM X 35M</t>
  </si>
  <si>
    <t>NXMT2421KW</t>
  </si>
  <si>
    <t>NXMT2435KW</t>
  </si>
  <si>
    <t>NGMT2020-CN</t>
  </si>
  <si>
    <t>NASHUA G2 MASKING TAPE W 20MM X 20M</t>
  </si>
  <si>
    <t>HARGA TERBARU PER 29/11/2025</t>
  </si>
  <si>
    <t>HARGA TERBARU PER 29/10/2025</t>
  </si>
  <si>
    <t>NTMT4816W</t>
  </si>
  <si>
    <t>NTOP4881T45</t>
  </si>
  <si>
    <t>NSMT1021</t>
  </si>
  <si>
    <t>SHMZ4827</t>
  </si>
  <si>
    <t>SCOP4865-BW45</t>
  </si>
  <si>
    <t>SANSUI ( C ) BOPP TAPE CLEAR WHITE 48MM X 65M (2 IN X 72Y) 45MIC</t>
  </si>
  <si>
    <t>SHMZ1527</t>
  </si>
  <si>
    <t>SAMT1030G</t>
  </si>
  <si>
    <t>NTPR4860FRA</t>
  </si>
  <si>
    <t>NAMA BARANG</t>
  </si>
  <si>
    <t>UKURAN</t>
  </si>
  <si>
    <t>490 X 329 X 229</t>
  </si>
  <si>
    <t>275 X 275 X 295</t>
  </si>
  <si>
    <t>445 X 223 X 293</t>
  </si>
  <si>
    <t>430 X 215 X 293</t>
  </si>
  <si>
    <t>205 X 205 X 245</t>
  </si>
  <si>
    <t>445 X 335 X 293</t>
  </si>
  <si>
    <t>530 X 345 X 250</t>
  </si>
  <si>
    <t>210 X 210 X 295</t>
  </si>
  <si>
    <t>CARTON BOX MIROKU NON ADH</t>
  </si>
  <si>
    <t>CARTON BOX NASHUA ALUMINIUM</t>
  </si>
  <si>
    <t>CARTON BOX NASHUA G2 OPP</t>
  </si>
  <si>
    <t>CARTON BOX NASHUA OPP</t>
  </si>
  <si>
    <t>CARTON BOX NASHUA UNITITEL</t>
  </si>
  <si>
    <t>CARTON BOX NASHUA XTRA MASKING</t>
  </si>
  <si>
    <t>CARTON BOX NASHUA XTRA OPP</t>
  </si>
  <si>
    <t>CARTON BOX SANSUI HIJAU 75</t>
  </si>
  <si>
    <t>CARTON BOX TOP ONE OPP SAT</t>
  </si>
  <si>
    <t>CARTON BOX NASHUA PREMIUM 24</t>
  </si>
  <si>
    <t>2" X 40Y</t>
  </si>
  <si>
    <t>48MM X 25M</t>
  </si>
  <si>
    <t>9MM X 19,25M</t>
  </si>
  <si>
    <t>15MM X 2,5M</t>
  </si>
  <si>
    <t>2" X 20M</t>
  </si>
  <si>
    <t>72MM X 25M</t>
  </si>
  <si>
    <t>100CM X 25M</t>
  </si>
  <si>
    <t>KOANSONG ALUMINIUM TAPE (KERTAS KUNING)</t>
  </si>
  <si>
    <t>MIROKU ALUMUNIUM TAPE</t>
  </si>
  <si>
    <t>MIROKU DOUBLE TAPE</t>
  </si>
  <si>
    <t>MIROKU MASKING TAPE WHITE</t>
  </si>
  <si>
    <t>MIROKU MASKING TAPE Y</t>
  </si>
  <si>
    <t>MIROKU NON ADHESIVE TAPE ABU-ABU</t>
  </si>
  <si>
    <t>MIROKU NON ADHESIVE TAPE CREAM</t>
  </si>
  <si>
    <t>NASHUA ALUMINIUM TAPE</t>
  </si>
  <si>
    <t>48MM X 30M</t>
  </si>
  <si>
    <t>48MM X 50M</t>
  </si>
  <si>
    <t>96MM X 25M</t>
  </si>
  <si>
    <t>96MM X 30M</t>
  </si>
  <si>
    <t>72MM X 30M</t>
  </si>
  <si>
    <t>90MM X 100M</t>
  </si>
  <si>
    <t>90MM X 500M</t>
  </si>
  <si>
    <t>PER 13/08/2025</t>
  </si>
  <si>
    <t>12MM X 5M</t>
  </si>
  <si>
    <t>24MM X 5M</t>
  </si>
  <si>
    <t>48MM X 5M</t>
  </si>
  <si>
    <t>20MM X 20M</t>
  </si>
  <si>
    <t>12MM X 10M</t>
  </si>
  <si>
    <t>10MM X 150M</t>
  </si>
  <si>
    <t>12MM X 50M</t>
  </si>
  <si>
    <t>NASHUA DOUBLE BLACK FOAM RELEASE HIJAU</t>
  </si>
  <si>
    <t>NASHUA DOUBLE TAPE HOTMELT</t>
  </si>
  <si>
    <t>48MM X 15Y</t>
  </si>
  <si>
    <t>24MM X 15Y</t>
  </si>
  <si>
    <t>12MM X 15Y</t>
  </si>
  <si>
    <t>48MM X 45M (2" X 50Y)</t>
  </si>
  <si>
    <t>NASHUA DOUBLE WHITE FOAM RELEASE KOTAK</t>
  </si>
  <si>
    <t>NASHUA DUCT TAPE HITAM</t>
  </si>
  <si>
    <t>48MM X 25M (2" X 25M)</t>
  </si>
  <si>
    <t>24MM X 25M (1" X 25M)</t>
  </si>
  <si>
    <t>72MM X 25M (3" X 25M)</t>
  </si>
  <si>
    <t>72MM X 45M (3" X 50Y)</t>
  </si>
  <si>
    <t>100MM X 50Y</t>
  </si>
  <si>
    <t>24MM X 10M</t>
  </si>
  <si>
    <t>24MM X 50Y</t>
  </si>
  <si>
    <t>NASHUA DUCT TAPE KUNING</t>
  </si>
  <si>
    <t>NASHUA DUCT TAPE SILVER</t>
  </si>
  <si>
    <t>NASHUA G2 DOUBLE TAPE HOTMELT</t>
  </si>
  <si>
    <t>PER 31/08/2023</t>
  </si>
  <si>
    <t>PER 31/05/2024</t>
  </si>
  <si>
    <t>PER MEI 2023</t>
  </si>
  <si>
    <t>24MM X 25M</t>
  </si>
  <si>
    <t>35MM X 15M</t>
  </si>
  <si>
    <t>24MM X 15M</t>
  </si>
  <si>
    <t>24MM X 21M</t>
  </si>
  <si>
    <t>48MM X 15M</t>
  </si>
  <si>
    <t>48MM X 80Y</t>
  </si>
  <si>
    <t>24MM X 80Y</t>
  </si>
  <si>
    <t>NASHUA G2 FILAMENT TAPE</t>
  </si>
  <si>
    <t>NASHUA G2 MASKING TAPE WHITE</t>
  </si>
  <si>
    <t>NASHUA G2 MASKING TAPE Y</t>
  </si>
  <si>
    <t>NASHUA G2 OPP TAPE CLEAR 43MIC</t>
  </si>
  <si>
    <t>PER JUNI 2023</t>
  </si>
  <si>
    <t>PER MEI 2024</t>
  </si>
  <si>
    <t>PER FEB 2025</t>
  </si>
  <si>
    <t>PER 06/06/2023</t>
  </si>
  <si>
    <t>12MM X 80Y</t>
  </si>
  <si>
    <t>12MM X 72Y</t>
  </si>
  <si>
    <t>24MM X 72Y</t>
  </si>
  <si>
    <t>48MM X 72Y</t>
  </si>
  <si>
    <t>48MM X 81M</t>
  </si>
  <si>
    <t>24MM X 20M</t>
  </si>
  <si>
    <t>NASHUA G2 OPP TAPE CLEAR 43MIC SAT</t>
  </si>
  <si>
    <t>NASHUA G2 OPP TAPE TAN 43MIC</t>
  </si>
  <si>
    <t>NASHUA G2 TOP CLEAR 43MIC</t>
  </si>
  <si>
    <t>NASHUA MASKING TAPE TAN 48MIC</t>
  </si>
  <si>
    <t>NASHUA MASKING TAPE WHITE</t>
  </si>
  <si>
    <t>9MM X 10M</t>
  </si>
  <si>
    <t>48MM X 10M</t>
  </si>
  <si>
    <t>NASHUA MASKING TAPE ORANGE</t>
  </si>
  <si>
    <t>NASHUA MASKING TAPE MERAH</t>
  </si>
  <si>
    <t>NASHUA MASKING TAPE HIJAU</t>
  </si>
  <si>
    <t>PER 30/09/2025</t>
  </si>
  <si>
    <t>18MM X 7M</t>
  </si>
  <si>
    <t>6MM X 10M</t>
  </si>
  <si>
    <t>9MM X 50M</t>
  </si>
  <si>
    <t>20,5MM X 10M</t>
  </si>
  <si>
    <t>41MM X 10M</t>
  </si>
  <si>
    <t>12MM X 15M</t>
  </si>
  <si>
    <t>96MM X 15M</t>
  </si>
  <si>
    <t>NASHUA MASKING TAPE Y</t>
  </si>
  <si>
    <t>PER 29/06/2024</t>
  </si>
  <si>
    <t>22,5MM X 12,5M</t>
  </si>
  <si>
    <t>45MM X 12.5M</t>
  </si>
  <si>
    <t>12MM X 20M</t>
  </si>
  <si>
    <t>48MM X 20M</t>
  </si>
  <si>
    <t>5MM X 30M</t>
  </si>
  <si>
    <t>18MM X 30M</t>
  </si>
  <si>
    <t>24MM X 30M</t>
  </si>
  <si>
    <t>18MM X 40Y</t>
  </si>
  <si>
    <t>24MM X 40Y</t>
  </si>
  <si>
    <t>48MM X 40Y</t>
  </si>
  <si>
    <t>PER 26/09/2024 (JKT &amp; AGUSTINUS)</t>
  </si>
  <si>
    <t>SACT4825HJ</t>
  </si>
  <si>
    <t>SFI568</t>
  </si>
  <si>
    <t>NGDH2410A</t>
  </si>
  <si>
    <t>MMDS919</t>
  </si>
  <si>
    <t>72MM X 20M</t>
  </si>
  <si>
    <t>18MM X 10M</t>
  </si>
  <si>
    <t>NASHUA MASKING TAPE Y PREMIUM</t>
  </si>
  <si>
    <t>NTMT1220Y-CN</t>
  </si>
  <si>
    <t>NTMT0620Y-CN</t>
  </si>
  <si>
    <t>NASHUA TOP1 MASKING TAPE W 12 MM X 20Y (1/2 IN)</t>
  </si>
  <si>
    <t>NASHUA TOP1 MASKING TAPE W 6 MM X 20Y (1/4 IN)</t>
  </si>
  <si>
    <t>HARGA TERBARU PER 26/12/2025</t>
  </si>
  <si>
    <t>NTCT4610HI</t>
  </si>
  <si>
    <t>NASHUA KRAFT PAPER TAPE 55MM X 15Y</t>
  </si>
  <si>
    <t>HARGA TERBARU PER 30/12/2025</t>
  </si>
  <si>
    <t>CARTON BOX NASHUA XTRA MASKING (220 X 220 X 245)</t>
  </si>
  <si>
    <t>CBNX220</t>
  </si>
  <si>
    <t>NAKR5513</t>
  </si>
  <si>
    <t xml:space="preserve"> 220 X 220 X 245</t>
  </si>
  <si>
    <t>=TRIM(MID(D25,FIND("TAPE",D25)+5,100))</t>
  </si>
  <si>
    <t>12MM X 5Y</t>
  </si>
  <si>
    <t>24MM X 5Y</t>
  </si>
  <si>
    <t>48MM X 5Y</t>
  </si>
  <si>
    <t>40MM X 3M</t>
  </si>
  <si>
    <t>NASHUA TOP1 DOUBLE BLACK FOAM RELEASE HIJAU</t>
  </si>
  <si>
    <t>SAMSON DOUBLE BLACK FOAM RELEASE HIJAU</t>
  </si>
  <si>
    <t>=right(d1,10)</t>
  </si>
  <si>
    <t>SLMT627</t>
  </si>
  <si>
    <t>HARGA TERBARU PER 28/01/2026</t>
  </si>
  <si>
    <t>SAOP4850C52</t>
  </si>
  <si>
    <t>SAMSON OPP TAPE CLEAR 52MIC 48MM X 50M</t>
  </si>
  <si>
    <t>NSMT0521</t>
  </si>
  <si>
    <t>NGMT4820-CN</t>
  </si>
  <si>
    <t>NGMT7220-CN</t>
  </si>
  <si>
    <t>NGMT9620-CN</t>
  </si>
  <si>
    <t>NASHUA G2 MASKING TAPE PUTIH 48MM X 20M</t>
  </si>
  <si>
    <t>NASHUA G2 MASKING TAPE PUTIH 72MM X 20M</t>
  </si>
  <si>
    <t>NASHUA G2 MASKING TAPE PUTIH 96MM X 20M</t>
  </si>
  <si>
    <t>HARGA TERBARU PER 28/02/2026</t>
  </si>
  <si>
    <t>NTST1245-C43</t>
  </si>
  <si>
    <t>SBDT-20</t>
  </si>
  <si>
    <t>SANSUI (B) MASKING TAPE W 48MM X 21M</t>
  </si>
  <si>
    <t>NAMT2436</t>
  </si>
  <si>
    <t>NAMT1836</t>
  </si>
  <si>
    <t>NAMT4836</t>
  </si>
  <si>
    <t>NASHUA MASKING TAPE Y 45MM X 12,5M</t>
  </si>
  <si>
    <t>SAMSON BLOK TAPE HIJAU 48MM X 50Y</t>
  </si>
  <si>
    <t>SAMSON BLOK TAPE MERAH 48MM X 50Y</t>
  </si>
  <si>
    <t>SAMSON BLOK TAPE KUNING 48MM X 50Y</t>
  </si>
  <si>
    <t>SAMSON BLOK TAPE BIRU 48MM X 50Y</t>
  </si>
  <si>
    <t>SAMSON BLOK TAPE PUTIH 48MM X 50Y</t>
  </si>
  <si>
    <t>SAMSON BLOK TAPE ORANGE 48MM X 50Y</t>
  </si>
  <si>
    <t>HARGA TERBARU PER 31/03/2026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</si>
</sst>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_-;\-* #,##0_-;_-* &quot;-&quot;_-;_-@_-"/>
    <numFmt numFmtId="165" formatCode="_-* #,##0.00_-;\-* #,##0.00_-;_-* &quot;-&quot;??_-;_-@_-"/>
    <numFmt numFmtId="166" formatCode="_(* #,##0.00_);_(* \(#,##0.00\);_(* &quot;-&quot;??_);_(@_)"/>
    <numFmt numFmtId="167" formatCode="_(* #,##0_);_(* \(#,##0\);_(* &quot;-&quot;??_);_(@_)"/>
    <numFmt numFmtId="168" formatCode="_-* #,##0_-;\-* #,##0_-;_-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2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8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31">
    <xf numFmtId="0" fontId="0" fillId="0" borderId="0" xfId="0"/>
    <xf numFmtId="0" fontId="3" fillId="0" borderId="0" xfId="0" applyFont="1" applyFill="1" applyBorder="1" applyAlignment="1"/>
    <xf numFmtId="0" fontId="0" fillId="0" borderId="0" xfId="0" applyAlignment="1">
      <alignment horizontal="center"/>
    </xf>
    <xf numFmtId="0" fontId="0" fillId="0" borderId="0" xfId="0" applyNumberFormat="1" applyBorder="1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168" fontId="0" fillId="0" borderId="1" xfId="1" applyNumberFormat="1" applyFont="1" applyBorder="1" applyAlignment="1">
      <alignment horizontal="center" vertical="center"/>
    </xf>
    <xf numFmtId="0" fontId="4" fillId="0" borderId="1" xfId="0" applyFont="1" applyFill="1" applyBorder="1"/>
    <xf numFmtId="167" fontId="4" fillId="0" borderId="1" xfId="2" applyNumberFormat="1" applyFont="1" applyFill="1" applyBorder="1"/>
    <xf numFmtId="0" fontId="2" fillId="0" borderId="1" xfId="0" applyFont="1" applyBorder="1"/>
    <xf numFmtId="0" fontId="2" fillId="0" borderId="1" xfId="1" applyNumberFormat="1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167" fontId="4" fillId="0" borderId="1" xfId="2" applyNumberFormat="1" applyFont="1" applyFill="1" applyBorder="1" applyAlignment="1">
      <alignment horizontal="center"/>
    </xf>
    <xf numFmtId="168" fontId="3" fillId="0" borderId="0" xfId="1" applyNumberFormat="1" applyFont="1" applyFill="1" applyBorder="1" applyAlignment="1">
      <alignment horizontal="center"/>
    </xf>
    <xf numFmtId="168" fontId="0" fillId="0" borderId="1" xfId="1" applyNumberFormat="1" applyFont="1" applyBorder="1" applyAlignment="1">
      <alignment horizontal="center"/>
    </xf>
    <xf numFmtId="167" fontId="4" fillId="0" borderId="1" xfId="2" applyNumberFormat="1" applyFont="1" applyFill="1" applyBorder="1" applyAlignment="1">
      <alignment horizontal="center" vertical="center" wrapText="1"/>
    </xf>
    <xf numFmtId="168" fontId="0" fillId="0" borderId="0" xfId="1" applyNumberFormat="1" applyFont="1" applyAlignment="1">
      <alignment horizontal="center"/>
    </xf>
    <xf numFmtId="0" fontId="3" fillId="0" borderId="0" xfId="0" applyFont="1" applyFill="1" applyBorder="1" applyAlignment="1">
      <alignment horizontal="center"/>
    </xf>
    <xf numFmtId="164" fontId="4" fillId="0" borderId="1" xfId="3" applyFont="1" applyFill="1" applyBorder="1" applyAlignment="1">
      <alignment horizontal="center"/>
    </xf>
    <xf numFmtId="0" fontId="4" fillId="0" borderId="0" xfId="2" applyNumberFormat="1" applyFont="1" applyFill="1" applyBorder="1"/>
    <xf numFmtId="164" fontId="4" fillId="0" borderId="1" xfId="3" applyFont="1" applyFill="1" applyBorder="1"/>
    <xf numFmtId="0" fontId="3" fillId="0" borderId="0" xfId="0" applyNumberFormat="1" applyFont="1" applyFill="1" applyBorder="1" applyAlignment="1"/>
    <xf numFmtId="0" fontId="0" fillId="0" borderId="1" xfId="0" applyNumberFormat="1" applyBorder="1"/>
    <xf numFmtId="0" fontId="0" fillId="0" borderId="1" xfId="0" applyNumberFormat="1" applyBorder="1" applyAlignment="1">
      <alignment vertical="center"/>
    </xf>
    <xf numFmtId="0" fontId="0" fillId="0" borderId="0" xfId="0" applyNumberFormat="1"/>
    <xf numFmtId="0" fontId="4" fillId="0" borderId="0" xfId="0" applyNumberFormat="1" applyFont="1" applyFill="1" applyBorder="1"/>
    <xf numFmtId="0" fontId="4" fillId="0" borderId="1" xfId="0" applyNumberFormat="1" applyFont="1" applyFill="1" applyBorder="1"/>
    <xf numFmtId="0" fontId="5" fillId="2" borderId="1" xfId="1" applyNumberFormat="1" applyFont="1" applyFill="1" applyBorder="1" applyAlignment="1">
      <alignment horizontal="center"/>
    </xf>
    <xf numFmtId="0" fontId="8" fillId="2" borderId="1" xfId="0" applyNumberFormat="1" applyFont="1" applyFill="1" applyBorder="1" applyAlignment="1">
      <alignment horizontal="center"/>
    </xf>
    <xf numFmtId="167" fontId="4" fillId="0" borderId="1" xfId="2" applyNumberFormat="1" applyFont="1" applyFill="1" applyBorder="1" applyAlignment="1">
      <alignment vertical="center"/>
    </xf>
    <xf numFmtId="0" fontId="0" fillId="0" borderId="2" xfId="0" applyBorder="1" applyAlignment="1">
      <alignment horizontal="center"/>
    </xf>
    <xf numFmtId="0" fontId="0" fillId="0" borderId="2" xfId="0" applyBorder="1"/>
    <xf numFmtId="168" fontId="0" fillId="0" borderId="2" xfId="1" applyNumberFormat="1" applyFont="1" applyBorder="1" applyAlignment="1">
      <alignment horizontal="center"/>
    </xf>
    <xf numFmtId="0" fontId="3" fillId="0" borderId="0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4" fillId="0" borderId="1" xfId="2" applyNumberFormat="1" applyFont="1" applyFill="1" applyBorder="1"/>
    <xf numFmtId="0" fontId="0" fillId="3" borderId="1" xfId="0" applyFill="1" applyBorder="1" applyAlignment="1">
      <alignment horizontal="center"/>
    </xf>
    <xf numFmtId="168" fontId="4" fillId="0" borderId="1" xfId="1" applyNumberFormat="1" applyFont="1" applyFill="1" applyBorder="1" applyAlignment="1">
      <alignment vertical="center"/>
    </xf>
    <xf numFmtId="0" fontId="0" fillId="0" borderId="0" xfId="0" applyBorder="1" applyAlignment="1">
      <alignment horizontal="center"/>
    </xf>
    <xf numFmtId="0" fontId="4" fillId="0" borderId="1" xfId="0" applyFont="1" applyFill="1" applyBorder="1" applyAlignment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0" fillId="0" borderId="1" xfId="0" applyFill="1" applyBorder="1"/>
    <xf numFmtId="168" fontId="0" fillId="0" borderId="1" xfId="1" applyNumberFormat="1" applyFont="1" applyFill="1" applyBorder="1" applyAlignment="1">
      <alignment horizontal="center"/>
    </xf>
    <xf numFmtId="0" fontId="0" fillId="0" borderId="1" xfId="0" applyNumberFormat="1" applyFill="1" applyBorder="1"/>
    <xf numFmtId="0" fontId="0" fillId="0" borderId="0" xfId="0" applyFill="1"/>
    <xf numFmtId="0" fontId="0" fillId="0" borderId="0" xfId="0" applyNumberFormat="1" applyFill="1"/>
    <xf numFmtId="0" fontId="0" fillId="0" borderId="0" xfId="0" applyFill="1" applyAlignment="1">
      <alignment vertical="center"/>
    </xf>
    <xf numFmtId="168" fontId="0" fillId="0" borderId="0" xfId="1" applyNumberFormat="1" applyFont="1" applyFill="1" applyAlignment="1">
      <alignment horizontal="center"/>
    </xf>
    <xf numFmtId="0" fontId="0" fillId="0" borderId="0" xfId="0" applyFill="1" applyAlignment="1">
      <alignment horizontal="center"/>
    </xf>
    <xf numFmtId="0" fontId="3" fillId="4" borderId="0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NumberFormat="1" applyFont="1" applyFill="1" applyBorder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NumberFormat="1" applyBorder="1" applyAlignment="1">
      <alignment horizontal="center"/>
    </xf>
    <xf numFmtId="0" fontId="0" fillId="0" borderId="1" xfId="0" applyNumberFormat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/>
    </xf>
    <xf numFmtId="0" fontId="4" fillId="0" borderId="0" xfId="0" applyNumberFormat="1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4" fillId="0" borderId="0" xfId="2" applyNumberFormat="1" applyFont="1" applyFill="1" applyBorder="1" applyAlignment="1">
      <alignment horizontal="center"/>
    </xf>
    <xf numFmtId="0" fontId="0" fillId="0" borderId="0" xfId="0" applyNumberForma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 wrapText="1"/>
    </xf>
    <xf numFmtId="168" fontId="4" fillId="0" borderId="1" xfId="1" applyNumberFormat="1" applyFont="1" applyFill="1" applyBorder="1" applyAlignment="1">
      <alignment horizontal="center" vertical="center"/>
    </xf>
    <xf numFmtId="167" fontId="4" fillId="0" borderId="1" xfId="2" applyNumberFormat="1" applyFont="1" applyFill="1" applyBorder="1" applyAlignment="1">
      <alignment horizontal="center" vertical="center"/>
    </xf>
    <xf numFmtId="0" fontId="4" fillId="0" borderId="1" xfId="2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/>
    <xf numFmtId="0" fontId="0" fillId="5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164" fontId="0" fillId="0" borderId="1" xfId="3" applyFont="1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4" fillId="5" borderId="1" xfId="0" applyFont="1" applyFill="1" applyBorder="1" applyAlignment="1">
      <alignment horizontal="center" vertical="center"/>
    </xf>
    <xf numFmtId="0" fontId="0" fillId="0" borderId="0" xfId="0" quotePrefix="1" applyFill="1"/>
    <xf numFmtId="0" fontId="8" fillId="2" borderId="1" xfId="0" applyNumberFormat="1" applyFont="1" applyFill="1" applyBorder="1" applyAlignment="1">
      <alignment horizontal="center" vertical="center"/>
    </xf>
    <xf numFmtId="168" fontId="3" fillId="0" borderId="0" xfId="1" applyNumberFormat="1" applyFont="1" applyFill="1" applyBorder="1" applyAlignment="1">
      <alignment horizontal="center" vertical="center"/>
    </xf>
    <xf numFmtId="0" fontId="3" fillId="0" borderId="0" xfId="0" applyNumberFormat="1" applyFont="1" applyFill="1" applyBorder="1" applyAlignment="1">
      <alignment vertical="center"/>
    </xf>
    <xf numFmtId="0" fontId="0" fillId="0" borderId="0" xfId="0" applyNumberFormat="1" applyAlignment="1">
      <alignment vertical="center"/>
    </xf>
    <xf numFmtId="0" fontId="5" fillId="2" borderId="1" xfId="1" applyNumberFormat="1" applyFont="1" applyFill="1" applyBorder="1" applyAlignment="1">
      <alignment horizontal="center" vertical="center"/>
    </xf>
    <xf numFmtId="0" fontId="0" fillId="0" borderId="0" xfId="0" applyNumberFormat="1" applyBorder="1" applyAlignment="1">
      <alignment vertical="center"/>
    </xf>
    <xf numFmtId="0" fontId="0" fillId="5" borderId="1" xfId="0" applyFill="1" applyBorder="1" applyAlignment="1">
      <alignment horizontal="left" vertical="center"/>
    </xf>
    <xf numFmtId="168" fontId="0" fillId="5" borderId="1" xfId="1" applyNumberFormat="1" applyFont="1" applyFill="1" applyBorder="1" applyAlignment="1">
      <alignment horizontal="center" vertical="center"/>
    </xf>
    <xf numFmtId="0" fontId="0" fillId="5" borderId="1" xfId="0" applyNumberFormat="1" applyFill="1" applyBorder="1" applyAlignment="1">
      <alignment vertical="center"/>
    </xf>
    <xf numFmtId="0" fontId="0" fillId="0" borderId="1" xfId="0" applyNumberFormat="1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168" fontId="0" fillId="0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/>
    </xf>
    <xf numFmtId="164" fontId="4" fillId="0" borderId="1" xfId="3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168" fontId="0" fillId="0" borderId="2" xfId="1" applyNumberFormat="1" applyFont="1" applyBorder="1" applyAlignment="1">
      <alignment horizontal="center" vertical="center"/>
    </xf>
    <xf numFmtId="0" fontId="4" fillId="0" borderId="0" xfId="0" applyNumberFormat="1" applyFont="1" applyFill="1" applyBorder="1" applyAlignment="1">
      <alignment vertical="center"/>
    </xf>
    <xf numFmtId="0" fontId="4" fillId="0" borderId="0" xfId="2" applyNumberFormat="1" applyFont="1" applyFill="1" applyBorder="1" applyAlignment="1">
      <alignment vertical="center"/>
    </xf>
    <xf numFmtId="164" fontId="4" fillId="0" borderId="1" xfId="3" applyFont="1" applyFill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1" xfId="1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4" fillId="0" borderId="1" xfId="2" applyNumberFormat="1" applyFont="1" applyFill="1" applyBorder="1" applyAlignment="1">
      <alignment vertical="center"/>
    </xf>
    <xf numFmtId="0" fontId="0" fillId="0" borderId="0" xfId="0" applyAlignment="1">
      <alignment horizontal="left" vertical="center"/>
    </xf>
    <xf numFmtId="168" fontId="0" fillId="0" borderId="0" xfId="1" applyNumberFormat="1" applyFont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167" fontId="4" fillId="3" borderId="1" xfId="2" applyNumberFormat="1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left" vertical="center"/>
    </xf>
    <xf numFmtId="168" fontId="0" fillId="3" borderId="2" xfId="1" applyNumberFormat="1" applyFont="1" applyFill="1" applyBorder="1" applyAlignment="1">
      <alignment horizontal="center" vertical="center"/>
    </xf>
    <xf numFmtId="168" fontId="0" fillId="3" borderId="1" xfId="1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8" fillId="2" borderId="1" xfId="0" applyNumberFormat="1" applyFont="1" applyFill="1" applyBorder="1" applyAlignment="1">
      <alignment horizontal="center" vertical="center"/>
    </xf>
    <xf numFmtId="0" fontId="8" fillId="2" borderId="2" xfId="0" applyNumberFormat="1" applyFont="1" applyFill="1" applyBorder="1" applyAlignment="1">
      <alignment horizontal="center" vertical="center" wrapText="1"/>
    </xf>
    <xf numFmtId="0" fontId="8" fillId="2" borderId="3" xfId="0" applyNumberFormat="1" applyFont="1" applyFill="1" applyBorder="1" applyAlignment="1">
      <alignment horizontal="center" vertical="center" wrapText="1"/>
    </xf>
    <xf numFmtId="0" fontId="5" fillId="2" borderId="1" xfId="0" applyNumberFormat="1" applyFont="1" applyFill="1" applyBorder="1" applyAlignment="1">
      <alignment horizontal="center" vertical="center"/>
    </xf>
    <xf numFmtId="0" fontId="2" fillId="2" borderId="1" xfId="1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1" applyNumberFormat="1" applyFont="1" applyFill="1" applyBorder="1" applyAlignment="1">
      <alignment horizontal="center" vertical="center"/>
    </xf>
    <xf numFmtId="0" fontId="5" fillId="2" borderId="2" xfId="1" applyNumberFormat="1" applyFont="1" applyFill="1" applyBorder="1" applyAlignment="1">
      <alignment horizontal="center" vertical="center"/>
    </xf>
    <xf numFmtId="0" fontId="5" fillId="2" borderId="3" xfId="1" applyNumberFormat="1" applyFont="1" applyFill="1" applyBorder="1" applyAlignment="1">
      <alignment horizontal="center" vertical="center"/>
    </xf>
    <xf numFmtId="0" fontId="5" fillId="2" borderId="2" xfId="0" applyNumberFormat="1" applyFont="1" applyFill="1" applyBorder="1" applyAlignment="1">
      <alignment horizontal="center" vertical="center"/>
    </xf>
    <xf numFmtId="0" fontId="5" fillId="2" borderId="3" xfId="0" applyNumberFormat="1" applyFont="1" applyFill="1" applyBorder="1" applyAlignment="1">
      <alignment horizontal="center" vertical="center"/>
    </xf>
  </cellXfs>
  <cellStyles count="4">
    <cellStyle name="Comma" xfId="1" builtinId="3"/>
    <cellStyle name="Comma [0]" xfId="3" builtinId="6"/>
    <cellStyle name="Comma 2" xfId="2" xr:uid="{D8CDDCB5-BFF4-4F5D-8DB8-31A1CA667781}"/>
    <cellStyle name="Normal" xfId="0" builtinId="0"/>
  </cellStyles>
  <dxfs count="0"/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82B16-4B9B-4B3C-A4DE-6D3893A698A5}">
  <sheetPr codeName="Sheet2"/>
  <dimension ref="B1:N379"/>
  <sheetViews>
    <sheetView zoomScale="90" zoomScaleNormal="90" workbookViewId="0">
      <pane ySplit="4" topLeftCell="A163" activePane="bottomLeft" state="frozen"/>
      <selection pane="bottomLeft" activeCell="D183" sqref="D183"/>
    </sheetView>
  </sheetViews>
  <sheetFormatPr defaultRowHeight="15" x14ac:dyDescent="0.25"/>
  <cols>
    <col min="1" max="1" width="2" customWidth="1"/>
    <col min="2" max="2" width="5" style="37" customWidth="1"/>
    <col min="3" max="3" width="15" bestFit="1" customWidth="1"/>
    <col min="4" max="4" width="53.28515625" customWidth="1"/>
    <col min="5" max="5" width="12.5703125" style="19" bestFit="1" customWidth="1"/>
    <col min="6" max="6" width="43.140625" style="27" customWidth="1"/>
    <col min="7" max="7" width="12.5703125" style="2" bestFit="1" customWidth="1"/>
    <col min="8" max="8" width="42.7109375" style="27" customWidth="1"/>
    <col min="9" max="9" width="12.5703125" style="2" bestFit="1" customWidth="1"/>
    <col min="10" max="10" width="43.7109375" style="27" bestFit="1" customWidth="1"/>
    <col min="11" max="11" width="12.5703125" style="2" bestFit="1" customWidth="1"/>
    <col min="12" max="12" width="34.5703125" style="27" customWidth="1"/>
    <col min="13" max="13" width="12.5703125" style="2" bestFit="1" customWidth="1"/>
    <col min="14" max="14" width="22.42578125" customWidth="1"/>
  </cols>
  <sheetData>
    <row r="1" spans="2:14" ht="15.75" x14ac:dyDescent="0.25">
      <c r="B1" s="36" t="s">
        <v>0</v>
      </c>
      <c r="C1" s="1"/>
      <c r="D1" s="1"/>
      <c r="E1" s="16"/>
      <c r="F1" s="24"/>
      <c r="G1" s="20"/>
      <c r="H1" s="24"/>
      <c r="I1" s="20"/>
      <c r="J1" s="24"/>
    </row>
    <row r="2" spans="2:14" ht="15.75" x14ac:dyDescent="0.25">
      <c r="B2" s="36"/>
      <c r="C2" s="1"/>
      <c r="D2" s="1"/>
      <c r="E2" s="16"/>
      <c r="F2" s="24"/>
      <c r="G2" s="20"/>
      <c r="H2" s="24"/>
      <c r="I2" s="20"/>
      <c r="J2" s="24"/>
    </row>
    <row r="3" spans="2:14" ht="15.75" customHeight="1" x14ac:dyDescent="0.25">
      <c r="B3" s="120" t="s">
        <v>3</v>
      </c>
      <c r="C3" s="121" t="s">
        <v>397</v>
      </c>
      <c r="D3" s="123" t="s">
        <v>2</v>
      </c>
      <c r="E3" s="124" t="s">
        <v>92</v>
      </c>
      <c r="F3" s="124"/>
      <c r="G3" s="119" t="s">
        <v>353</v>
      </c>
      <c r="H3" s="119"/>
      <c r="I3" s="119" t="s">
        <v>367</v>
      </c>
      <c r="J3" s="119"/>
      <c r="K3" s="119" t="s">
        <v>369</v>
      </c>
      <c r="L3" s="119"/>
      <c r="M3" s="119" t="s">
        <v>372</v>
      </c>
      <c r="N3" s="119"/>
    </row>
    <row r="4" spans="2:14" s="3" customFormat="1" ht="15.75" x14ac:dyDescent="0.25">
      <c r="B4" s="120"/>
      <c r="C4" s="122"/>
      <c r="D4" s="123"/>
      <c r="E4" s="30" t="s">
        <v>1</v>
      </c>
      <c r="F4" s="31" t="s">
        <v>91</v>
      </c>
      <c r="G4" s="30" t="s">
        <v>1</v>
      </c>
      <c r="H4" s="31" t="s">
        <v>91</v>
      </c>
      <c r="I4" s="30" t="s">
        <v>1</v>
      </c>
      <c r="J4" s="31" t="s">
        <v>91</v>
      </c>
      <c r="K4" s="30" t="s">
        <v>1</v>
      </c>
      <c r="L4" s="31" t="s">
        <v>91</v>
      </c>
      <c r="M4" s="30" t="s">
        <v>1</v>
      </c>
      <c r="N4" s="31" t="s">
        <v>91</v>
      </c>
    </row>
    <row r="5" spans="2:14" x14ac:dyDescent="0.25">
      <c r="B5" s="6">
        <v>1</v>
      </c>
      <c r="C5" s="4" t="s">
        <v>457</v>
      </c>
      <c r="D5" s="5" t="s">
        <v>4</v>
      </c>
      <c r="E5" s="17">
        <v>7000</v>
      </c>
      <c r="F5" s="25"/>
      <c r="G5" s="4"/>
      <c r="H5" s="25"/>
      <c r="I5" s="4"/>
      <c r="J5" s="25"/>
      <c r="K5" s="4"/>
      <c r="L5" s="25"/>
      <c r="M5" s="4"/>
      <c r="N5" s="5"/>
    </row>
    <row r="6" spans="2:14" x14ac:dyDescent="0.25">
      <c r="B6" s="6">
        <v>2</v>
      </c>
      <c r="C6" s="4" t="s">
        <v>498</v>
      </c>
      <c r="D6" s="5" t="s">
        <v>5</v>
      </c>
      <c r="E6" s="17">
        <v>5610</v>
      </c>
      <c r="F6" s="25"/>
      <c r="G6" s="4"/>
      <c r="H6" s="25"/>
      <c r="I6" s="4"/>
      <c r="J6" s="25"/>
      <c r="K6" s="4"/>
      <c r="L6" s="25"/>
      <c r="M6" s="4"/>
      <c r="N6" s="5"/>
    </row>
    <row r="7" spans="2:14" x14ac:dyDescent="0.25">
      <c r="B7" s="6">
        <v>3</v>
      </c>
      <c r="C7" s="4" t="s">
        <v>499</v>
      </c>
      <c r="D7" s="5" t="s">
        <v>6</v>
      </c>
      <c r="E7" s="17">
        <v>4544</v>
      </c>
      <c r="F7" s="25"/>
      <c r="G7" s="4"/>
      <c r="H7" s="25"/>
      <c r="I7" s="4"/>
      <c r="J7" s="25"/>
      <c r="K7" s="4"/>
      <c r="L7" s="25"/>
      <c r="M7" s="4"/>
      <c r="N7" s="5"/>
    </row>
    <row r="8" spans="2:14" x14ac:dyDescent="0.25">
      <c r="B8" s="6">
        <v>4</v>
      </c>
      <c r="C8" s="4" t="s">
        <v>459</v>
      </c>
      <c r="D8" s="5" t="s">
        <v>7</v>
      </c>
      <c r="E8" s="17">
        <v>5000</v>
      </c>
      <c r="F8" s="25"/>
      <c r="G8" s="4"/>
      <c r="H8" s="25"/>
      <c r="I8" s="4"/>
      <c r="J8" s="25"/>
      <c r="K8" s="4"/>
      <c r="L8" s="25"/>
      <c r="M8" s="4"/>
      <c r="N8" s="5"/>
    </row>
    <row r="9" spans="2:14" x14ac:dyDescent="0.25">
      <c r="B9" s="6">
        <v>5</v>
      </c>
      <c r="C9" s="4" t="s">
        <v>458</v>
      </c>
      <c r="D9" s="5" t="s">
        <v>8</v>
      </c>
      <c r="E9" s="17">
        <v>4300</v>
      </c>
      <c r="F9" s="25"/>
      <c r="G9" s="4"/>
      <c r="H9" s="25"/>
      <c r="I9" s="4"/>
      <c r="J9" s="25"/>
      <c r="K9" s="4"/>
      <c r="L9" s="25"/>
      <c r="M9" s="4"/>
      <c r="N9" s="5"/>
    </row>
    <row r="10" spans="2:14" x14ac:dyDescent="0.25">
      <c r="B10" s="6">
        <v>6</v>
      </c>
      <c r="C10" s="4" t="s">
        <v>490</v>
      </c>
      <c r="D10" s="5" t="s">
        <v>9</v>
      </c>
      <c r="E10" s="17">
        <v>2839</v>
      </c>
      <c r="F10" s="25"/>
      <c r="G10" s="4"/>
      <c r="H10" s="25"/>
      <c r="I10" s="4"/>
      <c r="J10" s="25"/>
      <c r="K10" s="4"/>
      <c r="L10" s="25"/>
      <c r="M10" s="4"/>
      <c r="N10" s="5"/>
    </row>
    <row r="11" spans="2:14" x14ac:dyDescent="0.25">
      <c r="B11" s="6">
        <v>7</v>
      </c>
      <c r="C11" s="4" t="s">
        <v>500</v>
      </c>
      <c r="D11" s="5" t="s">
        <v>10</v>
      </c>
      <c r="E11" s="17">
        <v>4544</v>
      </c>
      <c r="F11" s="25"/>
      <c r="G11" s="4"/>
      <c r="H11" s="25"/>
      <c r="I11" s="4"/>
      <c r="J11" s="25"/>
      <c r="K11" s="4"/>
      <c r="L11" s="25"/>
      <c r="M11" s="4"/>
      <c r="N11" s="5"/>
    </row>
    <row r="12" spans="2:14" x14ac:dyDescent="0.25">
      <c r="B12" s="6">
        <v>8</v>
      </c>
      <c r="C12" s="4" t="s">
        <v>497</v>
      </c>
      <c r="D12" s="5" t="s">
        <v>11</v>
      </c>
      <c r="E12" s="17">
        <v>5100</v>
      </c>
      <c r="F12" s="25"/>
      <c r="G12" s="4"/>
      <c r="H12" s="25"/>
      <c r="I12" s="4"/>
      <c r="J12" s="25"/>
      <c r="K12" s="4"/>
      <c r="L12" s="25"/>
      <c r="M12" s="4"/>
      <c r="N12" s="5"/>
    </row>
    <row r="13" spans="2:14" x14ac:dyDescent="0.25">
      <c r="B13" s="6">
        <v>9</v>
      </c>
      <c r="C13" s="4" t="s">
        <v>491</v>
      </c>
      <c r="D13" s="5" t="s">
        <v>12</v>
      </c>
      <c r="E13" s="17">
        <v>7160</v>
      </c>
      <c r="F13" s="25"/>
      <c r="G13" s="4"/>
      <c r="H13" s="25"/>
      <c r="I13" s="4"/>
      <c r="J13" s="25"/>
      <c r="K13" s="4"/>
      <c r="L13" s="25"/>
      <c r="M13" s="4"/>
      <c r="N13" s="5"/>
    </row>
    <row r="14" spans="2:14" x14ac:dyDescent="0.25">
      <c r="B14" s="6">
        <v>10</v>
      </c>
      <c r="C14" s="4" t="s">
        <v>492</v>
      </c>
      <c r="D14" s="5" t="s">
        <v>13</v>
      </c>
      <c r="E14" s="17">
        <v>3350</v>
      </c>
      <c r="F14" s="25"/>
      <c r="G14" s="4"/>
      <c r="H14" s="25"/>
      <c r="I14" s="4"/>
      <c r="J14" s="25"/>
      <c r="K14" s="4"/>
      <c r="L14" s="25"/>
      <c r="M14" s="4"/>
      <c r="N14" s="5"/>
    </row>
    <row r="15" spans="2:14" x14ac:dyDescent="0.25">
      <c r="B15" s="6">
        <v>11</v>
      </c>
      <c r="C15" s="4" t="s">
        <v>421</v>
      </c>
      <c r="D15" s="5" t="s">
        <v>14</v>
      </c>
      <c r="E15" s="17">
        <v>25200</v>
      </c>
      <c r="F15" s="25"/>
      <c r="G15" s="4"/>
      <c r="H15" s="25"/>
      <c r="I15" s="4"/>
      <c r="J15" s="25"/>
      <c r="K15" s="4"/>
      <c r="L15" s="25"/>
      <c r="M15" s="4"/>
      <c r="N15" s="5"/>
    </row>
    <row r="16" spans="2:14" x14ac:dyDescent="0.25">
      <c r="B16" s="6">
        <v>12</v>
      </c>
      <c r="C16" s="4" t="s">
        <v>493</v>
      </c>
      <c r="D16" s="5" t="s">
        <v>15</v>
      </c>
      <c r="E16" s="17">
        <v>19000</v>
      </c>
      <c r="F16" s="25"/>
      <c r="G16" s="4"/>
      <c r="H16" s="25"/>
      <c r="I16" s="4"/>
      <c r="J16" s="25"/>
      <c r="K16" s="4"/>
      <c r="L16" s="25"/>
      <c r="M16" s="4"/>
      <c r="N16" s="5"/>
    </row>
    <row r="17" spans="2:14" x14ac:dyDescent="0.25">
      <c r="B17" s="6">
        <v>13</v>
      </c>
      <c r="C17" s="4" t="s">
        <v>494</v>
      </c>
      <c r="D17" s="5" t="s">
        <v>17</v>
      </c>
      <c r="E17" s="17">
        <v>2910</v>
      </c>
      <c r="F17" s="25"/>
      <c r="G17" s="4"/>
      <c r="H17" s="25"/>
      <c r="I17" s="4"/>
      <c r="J17" s="25"/>
      <c r="K17" s="4"/>
      <c r="L17" s="25"/>
      <c r="M17" s="4"/>
      <c r="N17" s="5"/>
    </row>
    <row r="18" spans="2:14" x14ac:dyDescent="0.25">
      <c r="B18" s="6">
        <v>14</v>
      </c>
      <c r="C18" s="4" t="s">
        <v>422</v>
      </c>
      <c r="D18" s="5" t="s">
        <v>16</v>
      </c>
      <c r="E18" s="17">
        <v>339</v>
      </c>
      <c r="F18" s="25"/>
      <c r="G18" s="4"/>
      <c r="H18" s="25"/>
      <c r="I18" s="4"/>
      <c r="J18" s="25"/>
      <c r="K18" s="4"/>
      <c r="L18" s="25"/>
      <c r="M18" s="4"/>
      <c r="N18" s="5"/>
    </row>
    <row r="19" spans="2:14" x14ac:dyDescent="0.25">
      <c r="B19" s="6">
        <v>15</v>
      </c>
      <c r="C19" s="4" t="s">
        <v>495</v>
      </c>
      <c r="D19" s="5" t="s">
        <v>18</v>
      </c>
      <c r="E19" s="17">
        <v>339</v>
      </c>
      <c r="F19" s="25"/>
      <c r="G19" s="4"/>
      <c r="H19" s="25"/>
      <c r="I19" s="4"/>
      <c r="J19" s="25"/>
      <c r="K19" s="4"/>
      <c r="L19" s="25"/>
      <c r="M19" s="4"/>
      <c r="N19" s="5"/>
    </row>
    <row r="20" spans="2:14" x14ac:dyDescent="0.25">
      <c r="B20" s="6">
        <v>16</v>
      </c>
      <c r="C20" s="4" t="s">
        <v>496</v>
      </c>
      <c r="D20" s="5" t="s">
        <v>19</v>
      </c>
      <c r="E20" s="17">
        <v>3150</v>
      </c>
      <c r="F20" s="25"/>
      <c r="G20" s="4"/>
      <c r="H20" s="25"/>
      <c r="I20" s="4"/>
      <c r="J20" s="25"/>
      <c r="K20" s="4"/>
      <c r="L20" s="25"/>
      <c r="M20" s="4"/>
      <c r="N20" s="5"/>
    </row>
    <row r="21" spans="2:14" x14ac:dyDescent="0.25">
      <c r="B21" s="6">
        <v>17</v>
      </c>
      <c r="C21" s="4" t="s">
        <v>423</v>
      </c>
      <c r="D21" s="5" t="s">
        <v>20</v>
      </c>
      <c r="E21" s="17">
        <v>3150</v>
      </c>
      <c r="F21" s="25"/>
      <c r="G21" s="4"/>
      <c r="H21" s="25"/>
      <c r="I21" s="4"/>
      <c r="J21" s="25"/>
      <c r="K21" s="4"/>
      <c r="L21" s="25"/>
      <c r="M21" s="4"/>
      <c r="N21" s="5"/>
    </row>
    <row r="22" spans="2:14" x14ac:dyDescent="0.25">
      <c r="B22" s="6">
        <v>18</v>
      </c>
      <c r="C22" s="4" t="s">
        <v>398</v>
      </c>
      <c r="D22" s="5" t="s">
        <v>21</v>
      </c>
      <c r="E22" s="17">
        <v>19000</v>
      </c>
      <c r="F22" s="25"/>
      <c r="G22" s="4"/>
      <c r="H22" s="25"/>
      <c r="I22" s="4"/>
      <c r="J22" s="25"/>
      <c r="K22" s="4"/>
      <c r="L22" s="25"/>
      <c r="M22" s="4"/>
      <c r="N22" s="5"/>
    </row>
    <row r="23" spans="2:14" x14ac:dyDescent="0.25">
      <c r="B23" s="6">
        <v>19</v>
      </c>
      <c r="C23" s="4" t="s">
        <v>399</v>
      </c>
      <c r="D23" s="5" t="s">
        <v>22</v>
      </c>
      <c r="E23" s="17">
        <v>28500</v>
      </c>
      <c r="F23" s="25"/>
      <c r="G23" s="4"/>
      <c r="H23" s="25"/>
      <c r="I23" s="4"/>
      <c r="J23" s="25"/>
      <c r="K23" s="4"/>
      <c r="L23" s="25"/>
      <c r="M23" s="4"/>
      <c r="N23" s="5"/>
    </row>
    <row r="24" spans="2:14" x14ac:dyDescent="0.25">
      <c r="B24" s="6">
        <v>20</v>
      </c>
      <c r="C24" s="4" t="s">
        <v>424</v>
      </c>
      <c r="D24" s="5" t="s">
        <v>23</v>
      </c>
      <c r="E24" s="17">
        <v>395000</v>
      </c>
      <c r="F24" s="25"/>
      <c r="G24" s="4"/>
      <c r="H24" s="25"/>
      <c r="I24" s="4"/>
      <c r="J24" s="25"/>
      <c r="K24" s="4"/>
      <c r="L24" s="25"/>
      <c r="M24" s="4"/>
      <c r="N24" s="5"/>
    </row>
    <row r="25" spans="2:14" x14ac:dyDescent="0.25">
      <c r="B25" s="6">
        <v>21</v>
      </c>
      <c r="C25" s="4" t="s">
        <v>400</v>
      </c>
      <c r="D25" s="5" t="s">
        <v>24</v>
      </c>
      <c r="E25" s="17">
        <v>22000</v>
      </c>
      <c r="F25" s="25"/>
      <c r="G25" s="4"/>
      <c r="H25" s="25"/>
      <c r="I25" s="4"/>
      <c r="J25" s="25"/>
      <c r="K25" s="4"/>
      <c r="L25" s="25"/>
      <c r="M25" s="4"/>
      <c r="N25" s="5"/>
    </row>
    <row r="26" spans="2:14" x14ac:dyDescent="0.25">
      <c r="B26" s="6">
        <v>22</v>
      </c>
      <c r="C26" s="4" t="s">
        <v>401</v>
      </c>
      <c r="D26" s="5" t="s">
        <v>25</v>
      </c>
      <c r="E26" s="17">
        <v>35000</v>
      </c>
      <c r="F26" s="25"/>
      <c r="G26" s="4"/>
      <c r="H26" s="25"/>
      <c r="I26" s="4"/>
      <c r="J26" s="25"/>
      <c r="K26" s="4"/>
      <c r="L26" s="25"/>
      <c r="M26" s="4"/>
      <c r="N26" s="5"/>
    </row>
    <row r="27" spans="2:14" x14ac:dyDescent="0.25">
      <c r="B27" s="6">
        <v>23</v>
      </c>
      <c r="C27" s="4" t="s">
        <v>402</v>
      </c>
      <c r="D27" s="5" t="s">
        <v>26</v>
      </c>
      <c r="E27" s="17">
        <v>38000</v>
      </c>
      <c r="F27" s="25"/>
      <c r="G27" s="4"/>
      <c r="H27" s="25"/>
      <c r="I27" s="4"/>
      <c r="J27" s="25"/>
      <c r="K27" s="4"/>
      <c r="L27" s="25"/>
      <c r="M27" s="4"/>
      <c r="N27" s="5"/>
    </row>
    <row r="28" spans="2:14" x14ac:dyDescent="0.25">
      <c r="B28" s="6">
        <v>24</v>
      </c>
      <c r="C28" s="4" t="s">
        <v>403</v>
      </c>
      <c r="D28" s="5" t="s">
        <v>27</v>
      </c>
      <c r="E28" s="17">
        <v>44000</v>
      </c>
      <c r="F28" s="25"/>
      <c r="G28" s="4"/>
      <c r="H28" s="25"/>
      <c r="I28" s="4"/>
      <c r="J28" s="25"/>
      <c r="K28" s="4"/>
      <c r="L28" s="25"/>
      <c r="M28" s="4"/>
      <c r="N28" s="5"/>
    </row>
    <row r="29" spans="2:14" x14ac:dyDescent="0.25">
      <c r="B29" s="6">
        <v>25</v>
      </c>
      <c r="C29" s="4" t="s">
        <v>404</v>
      </c>
      <c r="D29" s="5" t="s">
        <v>708</v>
      </c>
      <c r="E29" s="17">
        <v>33000</v>
      </c>
      <c r="F29" s="25"/>
      <c r="G29" s="4"/>
      <c r="H29" s="25"/>
      <c r="I29" s="4"/>
      <c r="J29" s="25"/>
      <c r="K29" s="4"/>
      <c r="L29" s="25"/>
      <c r="M29" s="4"/>
      <c r="N29" s="5"/>
    </row>
    <row r="30" spans="2:14" x14ac:dyDescent="0.25">
      <c r="B30" s="6">
        <v>26</v>
      </c>
      <c r="C30" s="4" t="s">
        <v>707</v>
      </c>
      <c r="D30" s="5" t="s">
        <v>709</v>
      </c>
      <c r="E30" s="17">
        <v>185000</v>
      </c>
      <c r="F30" s="25" t="s">
        <v>710</v>
      </c>
      <c r="G30" s="4"/>
      <c r="H30" s="25"/>
      <c r="I30" s="4"/>
      <c r="J30" s="25"/>
      <c r="K30" s="4"/>
      <c r="L30" s="25"/>
      <c r="M30" s="4"/>
      <c r="N30" s="5"/>
    </row>
    <row r="31" spans="2:14" s="48" customFormat="1" x14ac:dyDescent="0.25">
      <c r="B31" s="43">
        <v>27</v>
      </c>
      <c r="C31" s="44" t="s">
        <v>711</v>
      </c>
      <c r="D31" s="45" t="s">
        <v>712</v>
      </c>
      <c r="E31" s="46">
        <v>925000</v>
      </c>
      <c r="F31" s="25" t="s">
        <v>710</v>
      </c>
      <c r="G31" s="44"/>
      <c r="H31" s="47"/>
      <c r="I31" s="44"/>
      <c r="J31" s="47"/>
      <c r="K31" s="44"/>
      <c r="L31" s="47"/>
      <c r="M31" s="44"/>
      <c r="N31" s="45"/>
    </row>
    <row r="32" spans="2:14" x14ac:dyDescent="0.25">
      <c r="B32" s="6">
        <v>28</v>
      </c>
      <c r="C32" s="4" t="s">
        <v>405</v>
      </c>
      <c r="D32" s="5" t="s">
        <v>28</v>
      </c>
      <c r="E32" s="17">
        <v>2500</v>
      </c>
      <c r="F32" s="25"/>
      <c r="G32" s="4"/>
      <c r="H32" s="25"/>
      <c r="I32" s="4"/>
      <c r="J32" s="25"/>
      <c r="K32" s="4"/>
      <c r="L32" s="25"/>
      <c r="M32" s="4"/>
      <c r="N32" s="5"/>
    </row>
    <row r="33" spans="2:14" x14ac:dyDescent="0.25">
      <c r="B33" s="6">
        <v>29</v>
      </c>
      <c r="C33" s="4" t="s">
        <v>406</v>
      </c>
      <c r="D33" s="5" t="s">
        <v>29</v>
      </c>
      <c r="E33" s="17">
        <v>5000</v>
      </c>
      <c r="F33" s="25"/>
      <c r="G33" s="4"/>
      <c r="H33" s="25"/>
      <c r="I33" s="4"/>
      <c r="J33" s="25"/>
      <c r="K33" s="4"/>
      <c r="L33" s="25"/>
      <c r="M33" s="4"/>
      <c r="N33" s="5"/>
    </row>
    <row r="34" spans="2:14" x14ac:dyDescent="0.25">
      <c r="B34" s="6">
        <v>30</v>
      </c>
      <c r="C34" s="4" t="s">
        <v>407</v>
      </c>
      <c r="D34" s="5" t="s">
        <v>30</v>
      </c>
      <c r="E34" s="17">
        <v>10000</v>
      </c>
      <c r="F34" s="25"/>
      <c r="G34" s="4"/>
      <c r="H34" s="25"/>
      <c r="I34" s="4"/>
      <c r="J34" s="25"/>
      <c r="K34" s="4"/>
      <c r="L34" s="25"/>
      <c r="M34" s="4"/>
      <c r="N34" s="5"/>
    </row>
    <row r="35" spans="2:14" x14ac:dyDescent="0.25">
      <c r="B35" s="6">
        <v>31</v>
      </c>
      <c r="C35" s="4" t="s">
        <v>408</v>
      </c>
      <c r="D35" s="5" t="s">
        <v>31</v>
      </c>
      <c r="E35" s="17">
        <v>16000</v>
      </c>
      <c r="F35" s="25"/>
      <c r="G35" s="4"/>
      <c r="H35" s="25"/>
      <c r="I35" s="4"/>
      <c r="J35" s="25"/>
      <c r="K35" s="4"/>
      <c r="L35" s="25"/>
      <c r="M35" s="4"/>
      <c r="N35" s="5"/>
    </row>
    <row r="36" spans="2:14" x14ac:dyDescent="0.25">
      <c r="B36" s="6">
        <v>32</v>
      </c>
      <c r="C36" s="4" t="s">
        <v>409</v>
      </c>
      <c r="D36" s="5" t="s">
        <v>32</v>
      </c>
      <c r="E36" s="17">
        <v>5000</v>
      </c>
      <c r="F36" s="25"/>
      <c r="G36" s="4"/>
      <c r="H36" s="25"/>
      <c r="I36" s="4"/>
      <c r="J36" s="25"/>
      <c r="K36" s="4"/>
      <c r="L36" s="25"/>
      <c r="M36" s="4"/>
      <c r="N36" s="5"/>
    </row>
    <row r="37" spans="2:14" x14ac:dyDescent="0.25">
      <c r="B37" s="6">
        <v>33</v>
      </c>
      <c r="C37" s="4" t="s">
        <v>406</v>
      </c>
      <c r="D37" s="5" t="s">
        <v>29</v>
      </c>
      <c r="E37" s="17">
        <v>5000</v>
      </c>
      <c r="F37" s="25"/>
      <c r="G37" s="4"/>
      <c r="H37" s="25"/>
      <c r="I37" s="4"/>
      <c r="J37" s="25"/>
      <c r="K37" s="4"/>
      <c r="L37" s="25"/>
      <c r="M37" s="4"/>
      <c r="N37" s="5"/>
    </row>
    <row r="38" spans="2:14" x14ac:dyDescent="0.25">
      <c r="B38" s="6">
        <v>34</v>
      </c>
      <c r="C38" s="4" t="s">
        <v>425</v>
      </c>
      <c r="D38" s="5" t="s">
        <v>33</v>
      </c>
      <c r="E38" s="17">
        <v>9550</v>
      </c>
      <c r="F38" s="25"/>
      <c r="G38" s="4"/>
      <c r="H38" s="25"/>
      <c r="I38" s="4"/>
      <c r="J38" s="25"/>
      <c r="K38" s="4"/>
      <c r="L38" s="25"/>
      <c r="M38" s="4"/>
      <c r="N38" s="5"/>
    </row>
    <row r="39" spans="2:14" x14ac:dyDescent="0.25">
      <c r="B39" s="6">
        <v>35</v>
      </c>
      <c r="C39" s="4" t="s">
        <v>428</v>
      </c>
      <c r="D39" s="5" t="s">
        <v>34</v>
      </c>
      <c r="E39" s="17">
        <v>3820</v>
      </c>
      <c r="F39" s="25"/>
      <c r="G39" s="4"/>
      <c r="H39" s="25"/>
      <c r="I39" s="4"/>
      <c r="J39" s="25"/>
      <c r="K39" s="4"/>
      <c r="L39" s="25"/>
      <c r="M39" s="4"/>
      <c r="N39" s="5"/>
    </row>
    <row r="40" spans="2:14" x14ac:dyDescent="0.25">
      <c r="B40" s="6">
        <v>36</v>
      </c>
      <c r="C40" s="4" t="s">
        <v>430</v>
      </c>
      <c r="D40" s="5" t="s">
        <v>35</v>
      </c>
      <c r="E40" s="17">
        <v>4400</v>
      </c>
      <c r="F40" s="25"/>
      <c r="G40" s="4"/>
      <c r="H40" s="25"/>
      <c r="I40" s="4"/>
      <c r="J40" s="25"/>
      <c r="K40" s="4"/>
      <c r="L40" s="25"/>
      <c r="M40" s="4"/>
      <c r="N40" s="5"/>
    </row>
    <row r="41" spans="2:14" x14ac:dyDescent="0.25">
      <c r="B41" s="6">
        <v>37</v>
      </c>
      <c r="C41" s="4" t="s">
        <v>431</v>
      </c>
      <c r="D41" s="5" t="s">
        <v>36</v>
      </c>
      <c r="E41" s="17">
        <v>2200</v>
      </c>
      <c r="F41" s="25"/>
      <c r="G41" s="4"/>
      <c r="H41" s="25"/>
      <c r="I41" s="4"/>
      <c r="J41" s="25"/>
      <c r="K41" s="4"/>
      <c r="L41" s="25"/>
      <c r="M41" s="4"/>
      <c r="N41" s="5"/>
    </row>
    <row r="42" spans="2:14" x14ac:dyDescent="0.25">
      <c r="B42" s="6">
        <v>38</v>
      </c>
      <c r="C42" s="4" t="s">
        <v>429</v>
      </c>
      <c r="D42" s="5" t="s">
        <v>37</v>
      </c>
      <c r="E42" s="17">
        <v>1350</v>
      </c>
      <c r="F42" s="25"/>
      <c r="G42" s="4"/>
      <c r="H42" s="25"/>
      <c r="I42" s="4"/>
      <c r="J42" s="25"/>
      <c r="K42" s="4"/>
      <c r="L42" s="25"/>
      <c r="M42" s="4"/>
      <c r="N42" s="5"/>
    </row>
    <row r="43" spans="2:14" x14ac:dyDescent="0.25">
      <c r="B43" s="6">
        <v>39</v>
      </c>
      <c r="C43" s="4" t="s">
        <v>432</v>
      </c>
      <c r="D43" s="5" t="s">
        <v>38</v>
      </c>
      <c r="E43" s="17">
        <v>5000</v>
      </c>
      <c r="F43" s="25"/>
      <c r="G43" s="4"/>
      <c r="H43" s="25"/>
      <c r="I43" s="4"/>
      <c r="J43" s="25"/>
      <c r="K43" s="4"/>
      <c r="L43" s="25"/>
      <c r="M43" s="4"/>
      <c r="N43" s="5"/>
    </row>
    <row r="44" spans="2:14" x14ac:dyDescent="0.25">
      <c r="B44" s="6">
        <v>40</v>
      </c>
      <c r="C44" s="4" t="s">
        <v>433</v>
      </c>
      <c r="D44" s="5" t="s">
        <v>39</v>
      </c>
      <c r="E44" s="17">
        <v>46440</v>
      </c>
      <c r="F44" s="25"/>
      <c r="G44" s="4"/>
      <c r="H44" s="25"/>
      <c r="I44" s="4"/>
      <c r="J44" s="25"/>
      <c r="K44" s="4"/>
      <c r="L44" s="25"/>
      <c r="M44" s="4"/>
      <c r="N44" s="5"/>
    </row>
    <row r="45" spans="2:14" x14ac:dyDescent="0.25">
      <c r="B45" s="6">
        <v>41</v>
      </c>
      <c r="C45" s="4" t="s">
        <v>434</v>
      </c>
      <c r="D45" s="5" t="s">
        <v>40</v>
      </c>
      <c r="E45" s="17">
        <v>25800</v>
      </c>
      <c r="F45" s="25" t="s">
        <v>347</v>
      </c>
      <c r="G45" s="4"/>
      <c r="H45" s="25"/>
      <c r="I45" s="4"/>
      <c r="J45" s="25"/>
      <c r="K45" s="4"/>
      <c r="L45" s="25"/>
      <c r="M45" s="4"/>
      <c r="N45" s="5"/>
    </row>
    <row r="46" spans="2:14" x14ac:dyDescent="0.25">
      <c r="B46" s="6">
        <v>42</v>
      </c>
      <c r="C46" s="4" t="s">
        <v>435</v>
      </c>
      <c r="D46" s="5" t="s">
        <v>41</v>
      </c>
      <c r="E46" s="17">
        <v>25800</v>
      </c>
      <c r="F46" s="25"/>
      <c r="G46" s="4"/>
      <c r="H46" s="25"/>
      <c r="I46" s="4"/>
      <c r="J46" s="25"/>
      <c r="K46" s="4"/>
      <c r="L46" s="25"/>
      <c r="M46" s="4"/>
      <c r="N46" s="5"/>
    </row>
    <row r="47" spans="2:14" x14ac:dyDescent="0.25">
      <c r="B47" s="6">
        <v>43</v>
      </c>
      <c r="C47" s="4" t="s">
        <v>436</v>
      </c>
      <c r="D47" s="5" t="s">
        <v>42</v>
      </c>
      <c r="E47" s="17">
        <v>12900</v>
      </c>
      <c r="F47" s="25" t="s">
        <v>348</v>
      </c>
      <c r="G47" s="4"/>
      <c r="H47" s="25"/>
      <c r="I47" s="4"/>
      <c r="J47" s="25"/>
      <c r="K47" s="4"/>
      <c r="L47" s="25"/>
      <c r="M47" s="4"/>
      <c r="N47" s="5"/>
    </row>
    <row r="48" spans="2:14" x14ac:dyDescent="0.25">
      <c r="B48" s="6">
        <v>44</v>
      </c>
      <c r="C48" s="4" t="s">
        <v>437</v>
      </c>
      <c r="D48" s="5" t="s">
        <v>43</v>
      </c>
      <c r="E48" s="17">
        <v>25800</v>
      </c>
      <c r="F48" s="25"/>
      <c r="G48" s="4"/>
      <c r="H48" s="25"/>
      <c r="I48" s="4"/>
      <c r="J48" s="25"/>
      <c r="K48" s="4"/>
      <c r="L48" s="25"/>
      <c r="M48" s="4"/>
      <c r="N48" s="5"/>
    </row>
    <row r="49" spans="2:14" x14ac:dyDescent="0.25">
      <c r="B49" s="6">
        <v>45</v>
      </c>
      <c r="C49" s="4" t="s">
        <v>438</v>
      </c>
      <c r="D49" s="5" t="s">
        <v>44</v>
      </c>
      <c r="E49" s="17">
        <v>46440</v>
      </c>
      <c r="F49" s="25"/>
      <c r="G49" s="4"/>
      <c r="H49" s="25"/>
      <c r="I49" s="4"/>
      <c r="J49" s="25"/>
      <c r="K49" s="4"/>
      <c r="L49" s="25"/>
      <c r="M49" s="4"/>
      <c r="N49" s="5"/>
    </row>
    <row r="50" spans="2:14" x14ac:dyDescent="0.25">
      <c r="B50" s="6">
        <v>46</v>
      </c>
      <c r="C50" s="4" t="s">
        <v>439</v>
      </c>
      <c r="D50" s="5" t="s">
        <v>45</v>
      </c>
      <c r="E50" s="17">
        <v>38700</v>
      </c>
      <c r="F50" s="25"/>
      <c r="G50" s="4"/>
      <c r="H50" s="25"/>
      <c r="I50" s="4"/>
      <c r="J50" s="25"/>
      <c r="K50" s="4"/>
      <c r="L50" s="25"/>
      <c r="M50" s="4"/>
      <c r="N50" s="5"/>
    </row>
    <row r="51" spans="2:14" x14ac:dyDescent="0.25">
      <c r="B51" s="6">
        <v>47</v>
      </c>
      <c r="C51" s="4" t="s">
        <v>440</v>
      </c>
      <c r="D51" s="5" t="s">
        <v>46</v>
      </c>
      <c r="E51" s="17">
        <v>69660</v>
      </c>
      <c r="F51" s="25"/>
      <c r="G51" s="4"/>
      <c r="H51" s="25"/>
      <c r="I51" s="4"/>
      <c r="J51" s="25"/>
      <c r="K51" s="4"/>
      <c r="L51" s="25"/>
      <c r="M51" s="4"/>
      <c r="N51" s="5"/>
    </row>
    <row r="52" spans="2:14" x14ac:dyDescent="0.25">
      <c r="B52" s="6">
        <v>48</v>
      </c>
      <c r="C52" s="4" t="s">
        <v>441</v>
      </c>
      <c r="D52" s="5" t="s">
        <v>47</v>
      </c>
      <c r="E52" s="17">
        <v>96750</v>
      </c>
      <c r="F52" s="25" t="s">
        <v>349</v>
      </c>
      <c r="G52" s="4"/>
      <c r="H52" s="25"/>
      <c r="I52" s="4"/>
      <c r="J52" s="25"/>
      <c r="K52" s="4"/>
      <c r="L52" s="25"/>
      <c r="M52" s="4"/>
      <c r="N52" s="5"/>
    </row>
    <row r="53" spans="2:14" x14ac:dyDescent="0.25">
      <c r="B53" s="6">
        <v>49</v>
      </c>
      <c r="C53" s="4" t="s">
        <v>442</v>
      </c>
      <c r="D53" s="5" t="s">
        <v>48</v>
      </c>
      <c r="E53" s="17">
        <v>2000</v>
      </c>
      <c r="F53" s="25"/>
      <c r="G53" s="4"/>
      <c r="H53" s="25"/>
      <c r="I53" s="4"/>
      <c r="J53" s="25"/>
      <c r="K53" s="4"/>
      <c r="L53" s="25"/>
      <c r="M53" s="4"/>
      <c r="N53" s="5"/>
    </row>
    <row r="54" spans="2:14" x14ac:dyDescent="0.25">
      <c r="B54" s="6">
        <v>50</v>
      </c>
      <c r="C54" s="4" t="s">
        <v>443</v>
      </c>
      <c r="D54" s="5" t="s">
        <v>49</v>
      </c>
      <c r="E54" s="17">
        <v>8800</v>
      </c>
      <c r="F54" s="25"/>
      <c r="G54" s="4"/>
      <c r="H54" s="25"/>
      <c r="I54" s="4"/>
      <c r="J54" s="25"/>
      <c r="K54" s="4"/>
      <c r="L54" s="25"/>
      <c r="M54" s="4"/>
      <c r="N54" s="5"/>
    </row>
    <row r="55" spans="2:14" x14ac:dyDescent="0.25">
      <c r="B55" s="6">
        <v>51</v>
      </c>
      <c r="C55" s="4" t="s">
        <v>501</v>
      </c>
      <c r="D55" s="5" t="s">
        <v>50</v>
      </c>
      <c r="E55" s="17">
        <v>19500</v>
      </c>
      <c r="F55" s="25" t="s">
        <v>350</v>
      </c>
      <c r="G55" s="4"/>
      <c r="H55" s="25"/>
      <c r="I55" s="4"/>
      <c r="J55" s="25"/>
      <c r="K55" s="4"/>
      <c r="L55" s="25"/>
      <c r="M55" s="4"/>
      <c r="N55" s="5"/>
    </row>
    <row r="56" spans="2:14" x14ac:dyDescent="0.25">
      <c r="B56" s="6">
        <v>52</v>
      </c>
      <c r="C56" s="4" t="s">
        <v>445</v>
      </c>
      <c r="D56" s="5" t="s">
        <v>51</v>
      </c>
      <c r="E56" s="17">
        <v>3125</v>
      </c>
      <c r="F56" s="25"/>
      <c r="G56" s="4"/>
      <c r="H56" s="25"/>
      <c r="I56" s="4"/>
      <c r="J56" s="25"/>
      <c r="K56" s="4"/>
      <c r="L56" s="25"/>
      <c r="M56" s="4"/>
      <c r="N56" s="5"/>
    </row>
    <row r="57" spans="2:14" x14ac:dyDescent="0.25">
      <c r="B57" s="6">
        <v>53</v>
      </c>
      <c r="C57" s="4" t="s">
        <v>446</v>
      </c>
      <c r="D57" s="5" t="s">
        <v>52</v>
      </c>
      <c r="E57" s="17">
        <v>2500</v>
      </c>
      <c r="F57" s="25"/>
      <c r="G57" s="4"/>
      <c r="H57" s="25"/>
      <c r="I57" s="4"/>
      <c r="J57" s="25"/>
      <c r="K57" s="4"/>
      <c r="L57" s="25"/>
      <c r="M57" s="4"/>
      <c r="N57" s="5"/>
    </row>
    <row r="58" spans="2:14" x14ac:dyDescent="0.25">
      <c r="B58" s="6">
        <v>54</v>
      </c>
      <c r="C58" s="4" t="s">
        <v>444</v>
      </c>
      <c r="D58" s="5" t="s">
        <v>53</v>
      </c>
      <c r="E58" s="17">
        <v>3000</v>
      </c>
      <c r="F58" s="25" t="s">
        <v>351</v>
      </c>
      <c r="G58" s="4"/>
      <c r="H58" s="25"/>
      <c r="I58" s="4"/>
      <c r="J58" s="25"/>
      <c r="K58" s="4"/>
      <c r="L58" s="25"/>
      <c r="M58" s="4"/>
      <c r="N58" s="5"/>
    </row>
    <row r="59" spans="2:14" x14ac:dyDescent="0.25">
      <c r="B59" s="6">
        <v>55</v>
      </c>
      <c r="C59" s="4" t="s">
        <v>448</v>
      </c>
      <c r="D59" s="5" t="s">
        <v>54</v>
      </c>
      <c r="E59" s="17">
        <v>2755</v>
      </c>
      <c r="F59" s="25" t="s">
        <v>352</v>
      </c>
      <c r="G59" s="4"/>
      <c r="H59" s="25"/>
      <c r="I59" s="4"/>
      <c r="J59" s="25"/>
      <c r="K59" s="4"/>
      <c r="L59" s="25"/>
      <c r="M59" s="4"/>
      <c r="N59" s="5"/>
    </row>
    <row r="60" spans="2:14" x14ac:dyDescent="0.25">
      <c r="B60" s="6">
        <v>56</v>
      </c>
      <c r="C60" s="4" t="s">
        <v>449</v>
      </c>
      <c r="D60" s="5" t="s">
        <v>55</v>
      </c>
      <c r="E60" s="17">
        <v>5510</v>
      </c>
      <c r="F60" s="25" t="s">
        <v>352</v>
      </c>
      <c r="G60" s="4"/>
      <c r="H60" s="25"/>
      <c r="I60" s="4"/>
      <c r="J60" s="25"/>
      <c r="K60" s="4"/>
      <c r="L60" s="25"/>
      <c r="M60" s="4"/>
      <c r="N60" s="5"/>
    </row>
    <row r="61" spans="2:14" x14ac:dyDescent="0.25">
      <c r="B61" s="6">
        <v>57</v>
      </c>
      <c r="C61" s="4" t="s">
        <v>447</v>
      </c>
      <c r="D61" s="5" t="s">
        <v>56</v>
      </c>
      <c r="E61" s="17">
        <v>4370</v>
      </c>
      <c r="F61" s="25" t="s">
        <v>352</v>
      </c>
      <c r="G61" s="4"/>
      <c r="H61" s="25"/>
      <c r="I61" s="4"/>
      <c r="J61" s="25"/>
      <c r="K61" s="4"/>
      <c r="L61" s="25"/>
      <c r="M61" s="4"/>
      <c r="N61" s="5"/>
    </row>
    <row r="62" spans="2:14" x14ac:dyDescent="0.25">
      <c r="B62" s="6">
        <v>58</v>
      </c>
      <c r="C62" s="4" t="s">
        <v>450</v>
      </c>
      <c r="D62" s="5" t="s">
        <v>57</v>
      </c>
      <c r="E62" s="17">
        <v>8740</v>
      </c>
      <c r="F62" s="25" t="s">
        <v>352</v>
      </c>
      <c r="G62" s="4"/>
      <c r="H62" s="25"/>
      <c r="I62" s="4"/>
      <c r="J62" s="25"/>
      <c r="K62" s="4"/>
      <c r="L62" s="25"/>
      <c r="M62" s="4"/>
      <c r="N62" s="5"/>
    </row>
    <row r="63" spans="2:14" x14ac:dyDescent="0.25">
      <c r="B63" s="6">
        <v>59</v>
      </c>
      <c r="C63" s="4" t="s">
        <v>451</v>
      </c>
      <c r="D63" s="5" t="s">
        <v>359</v>
      </c>
      <c r="E63" s="17">
        <v>6500</v>
      </c>
      <c r="F63" s="25"/>
      <c r="G63" s="17">
        <v>4500</v>
      </c>
      <c r="H63" s="25" t="s">
        <v>362</v>
      </c>
      <c r="I63" s="4"/>
      <c r="J63" s="25"/>
      <c r="K63" s="4"/>
      <c r="L63" s="25"/>
      <c r="M63" s="4"/>
      <c r="N63" s="5"/>
    </row>
    <row r="64" spans="2:14" x14ac:dyDescent="0.25">
      <c r="B64" s="6">
        <v>60</v>
      </c>
      <c r="C64" s="4" t="s">
        <v>452</v>
      </c>
      <c r="D64" s="5" t="s">
        <v>358</v>
      </c>
      <c r="E64" s="17">
        <v>3250</v>
      </c>
      <c r="F64" s="25"/>
      <c r="G64" s="4"/>
      <c r="H64" s="25"/>
      <c r="I64" s="4"/>
      <c r="J64" s="25"/>
      <c r="K64" s="4"/>
      <c r="L64" s="25"/>
      <c r="M64" s="4"/>
      <c r="N64" s="5"/>
    </row>
    <row r="65" spans="2:14" x14ac:dyDescent="0.25">
      <c r="B65" s="6">
        <v>61</v>
      </c>
      <c r="C65" s="4" t="s">
        <v>453</v>
      </c>
      <c r="D65" s="5" t="s">
        <v>357</v>
      </c>
      <c r="E65" s="17">
        <v>1100</v>
      </c>
      <c r="F65" s="25"/>
      <c r="G65" s="4"/>
      <c r="H65" s="25"/>
      <c r="I65" s="4"/>
      <c r="J65" s="25"/>
      <c r="K65" s="4"/>
      <c r="L65" s="25"/>
      <c r="M65" s="4"/>
      <c r="N65" s="5"/>
    </row>
    <row r="66" spans="2:14" x14ac:dyDescent="0.25">
      <c r="B66" s="6">
        <v>62</v>
      </c>
      <c r="C66" s="4" t="s">
        <v>454</v>
      </c>
      <c r="D66" s="5" t="s">
        <v>356</v>
      </c>
      <c r="E66" s="17">
        <v>1614</v>
      </c>
      <c r="F66" s="25"/>
      <c r="G66" s="4"/>
      <c r="H66" s="25"/>
      <c r="I66" s="4"/>
      <c r="J66" s="25"/>
      <c r="K66" s="4"/>
      <c r="L66" s="25"/>
      <c r="M66" s="4"/>
      <c r="N66" s="5"/>
    </row>
    <row r="67" spans="2:14" x14ac:dyDescent="0.25">
      <c r="B67" s="6">
        <v>63</v>
      </c>
      <c r="C67" s="4" t="s">
        <v>455</v>
      </c>
      <c r="D67" s="5" t="s">
        <v>355</v>
      </c>
      <c r="E67" s="17">
        <v>3228</v>
      </c>
      <c r="F67" s="25"/>
      <c r="G67" s="4"/>
      <c r="H67" s="25"/>
      <c r="I67" s="4"/>
      <c r="J67" s="25"/>
      <c r="K67" s="4"/>
      <c r="L67" s="25"/>
      <c r="M67" s="4"/>
      <c r="N67" s="5"/>
    </row>
    <row r="68" spans="2:14" x14ac:dyDescent="0.25">
      <c r="B68" s="6">
        <v>64</v>
      </c>
      <c r="C68" s="4" t="s">
        <v>456</v>
      </c>
      <c r="D68" s="5" t="s">
        <v>58</v>
      </c>
      <c r="E68" s="17">
        <v>6456</v>
      </c>
      <c r="F68" s="25"/>
      <c r="G68" s="4"/>
      <c r="H68" s="25"/>
      <c r="I68" s="4"/>
      <c r="J68" s="25"/>
      <c r="K68" s="4"/>
      <c r="L68" s="25"/>
      <c r="M68" s="4"/>
      <c r="N68" s="5"/>
    </row>
    <row r="69" spans="2:14" x14ac:dyDescent="0.25">
      <c r="B69" s="6">
        <v>65</v>
      </c>
      <c r="C69" s="4" t="s">
        <v>502</v>
      </c>
      <c r="D69" s="5" t="s">
        <v>354</v>
      </c>
      <c r="E69" s="17">
        <v>6500</v>
      </c>
      <c r="F69" s="25"/>
      <c r="G69" s="17">
        <v>4500</v>
      </c>
      <c r="H69" s="25" t="s">
        <v>362</v>
      </c>
      <c r="I69" s="4"/>
      <c r="J69" s="25"/>
      <c r="K69" s="4"/>
      <c r="L69" s="25"/>
      <c r="M69" s="4"/>
      <c r="N69" s="5"/>
    </row>
    <row r="70" spans="2:14" x14ac:dyDescent="0.25">
      <c r="B70" s="6">
        <v>66</v>
      </c>
      <c r="C70" s="4" t="s">
        <v>503</v>
      </c>
      <c r="D70" s="5" t="s">
        <v>360</v>
      </c>
      <c r="E70" s="17">
        <v>2175</v>
      </c>
      <c r="F70" s="25"/>
      <c r="G70" s="4"/>
      <c r="H70" s="25"/>
      <c r="I70" s="4"/>
      <c r="J70" s="25"/>
      <c r="K70" s="4"/>
      <c r="L70" s="25"/>
      <c r="M70" s="4"/>
      <c r="N70" s="5"/>
    </row>
    <row r="71" spans="2:14" x14ac:dyDescent="0.25">
      <c r="B71" s="6">
        <v>67</v>
      </c>
      <c r="C71" s="4" t="s">
        <v>504</v>
      </c>
      <c r="D71" s="5" t="s">
        <v>361</v>
      </c>
      <c r="E71" s="17">
        <v>5800</v>
      </c>
      <c r="F71" s="25"/>
      <c r="G71" s="4"/>
      <c r="H71" s="25"/>
      <c r="I71" s="4"/>
      <c r="J71" s="25"/>
      <c r="K71" s="4"/>
      <c r="L71" s="25"/>
      <c r="M71" s="4"/>
      <c r="N71" s="5"/>
    </row>
    <row r="72" spans="2:14" x14ac:dyDescent="0.25">
      <c r="B72" s="6">
        <v>68</v>
      </c>
      <c r="C72" s="4" t="s">
        <v>505</v>
      </c>
      <c r="D72" s="5" t="s">
        <v>59</v>
      </c>
      <c r="E72" s="17">
        <v>3700</v>
      </c>
      <c r="F72" s="25"/>
      <c r="G72" s="4"/>
      <c r="H72" s="25"/>
      <c r="I72" s="4"/>
      <c r="J72" s="25"/>
      <c r="K72" s="4"/>
      <c r="L72" s="25"/>
      <c r="M72" s="4"/>
      <c r="N72" s="5"/>
    </row>
    <row r="73" spans="2:14" x14ac:dyDescent="0.25">
      <c r="B73" s="6">
        <v>69</v>
      </c>
      <c r="C73" s="4" t="s">
        <v>460</v>
      </c>
      <c r="D73" s="5" t="s">
        <v>60</v>
      </c>
      <c r="E73" s="17">
        <v>970</v>
      </c>
      <c r="F73" s="25"/>
      <c r="G73" s="4"/>
      <c r="H73" s="25"/>
      <c r="I73" s="4"/>
      <c r="J73" s="25"/>
      <c r="K73" s="4"/>
      <c r="L73" s="25"/>
      <c r="M73" s="4"/>
      <c r="N73" s="5"/>
    </row>
    <row r="74" spans="2:14" x14ac:dyDescent="0.25">
      <c r="B74" s="6">
        <v>70</v>
      </c>
      <c r="C74" s="4" t="s">
        <v>461</v>
      </c>
      <c r="D74" s="5" t="s">
        <v>61</v>
      </c>
      <c r="E74" s="17">
        <v>895</v>
      </c>
      <c r="F74" s="25"/>
      <c r="G74" s="4"/>
      <c r="H74" s="25"/>
      <c r="I74" s="4"/>
      <c r="J74" s="25"/>
      <c r="K74" s="4"/>
      <c r="L74" s="25"/>
      <c r="M74" s="4"/>
      <c r="N74" s="5"/>
    </row>
    <row r="75" spans="2:14" x14ac:dyDescent="0.25">
      <c r="B75" s="6">
        <v>71</v>
      </c>
      <c r="C75" s="4" t="s">
        <v>462</v>
      </c>
      <c r="D75" s="5" t="s">
        <v>62</v>
      </c>
      <c r="E75" s="17">
        <v>1300</v>
      </c>
      <c r="F75" s="25"/>
      <c r="G75" s="4"/>
      <c r="H75" s="25"/>
      <c r="I75" s="4"/>
      <c r="J75" s="25"/>
      <c r="K75" s="4"/>
      <c r="L75" s="25"/>
      <c r="M75" s="4"/>
      <c r="N75" s="5"/>
    </row>
    <row r="76" spans="2:14" x14ac:dyDescent="0.25">
      <c r="B76" s="6">
        <v>72</v>
      </c>
      <c r="C76" s="4" t="s">
        <v>463</v>
      </c>
      <c r="D76" s="5" t="s">
        <v>411</v>
      </c>
      <c r="E76" s="17">
        <v>1900</v>
      </c>
      <c r="F76" s="25"/>
      <c r="G76" s="4"/>
      <c r="H76" s="25"/>
      <c r="I76" s="4"/>
      <c r="J76" s="25"/>
      <c r="K76" s="4"/>
      <c r="L76" s="25"/>
      <c r="M76" s="4"/>
      <c r="N76" s="5"/>
    </row>
    <row r="77" spans="2:14" x14ac:dyDescent="0.25">
      <c r="B77" s="6">
        <v>73</v>
      </c>
      <c r="C77" s="4" t="s">
        <v>464</v>
      </c>
      <c r="D77" s="5" t="s">
        <v>63</v>
      </c>
      <c r="E77" s="17">
        <v>3800</v>
      </c>
      <c r="F77" s="25"/>
      <c r="G77" s="4"/>
      <c r="H77" s="25"/>
      <c r="I77" s="4"/>
      <c r="J77" s="25"/>
      <c r="K77" s="4"/>
      <c r="L77" s="25"/>
      <c r="M77" s="4"/>
      <c r="N77" s="5"/>
    </row>
    <row r="78" spans="2:14" x14ac:dyDescent="0.25">
      <c r="B78" s="6">
        <v>74</v>
      </c>
      <c r="C78" s="4" t="s">
        <v>465</v>
      </c>
      <c r="D78" s="5" t="s">
        <v>64</v>
      </c>
      <c r="E78" s="17">
        <v>1450</v>
      </c>
      <c r="F78" s="25"/>
      <c r="G78" s="4"/>
      <c r="H78" s="25"/>
      <c r="I78" s="4"/>
      <c r="J78" s="25"/>
      <c r="K78" s="4"/>
      <c r="L78" s="25"/>
      <c r="M78" s="4"/>
      <c r="N78" s="5"/>
    </row>
    <row r="79" spans="2:14" x14ac:dyDescent="0.25">
      <c r="B79" s="6">
        <v>75</v>
      </c>
      <c r="C79" s="4" t="s">
        <v>427</v>
      </c>
      <c r="D79" s="5" t="s">
        <v>65</v>
      </c>
      <c r="E79" s="17">
        <v>2900</v>
      </c>
      <c r="F79" s="25"/>
      <c r="G79" s="4"/>
      <c r="H79" s="25"/>
      <c r="I79" s="4"/>
      <c r="J79" s="25"/>
      <c r="K79" s="4"/>
      <c r="L79" s="25"/>
      <c r="M79" s="4"/>
      <c r="N79" s="5"/>
    </row>
    <row r="80" spans="2:14" x14ac:dyDescent="0.25">
      <c r="B80" s="6">
        <v>76</v>
      </c>
      <c r="C80" s="4" t="s">
        <v>426</v>
      </c>
      <c r="D80" s="5" t="s">
        <v>66</v>
      </c>
      <c r="E80" s="17">
        <v>5800</v>
      </c>
      <c r="F80" s="25"/>
      <c r="G80" s="4"/>
      <c r="H80" s="25"/>
      <c r="I80" s="4"/>
      <c r="J80" s="25"/>
      <c r="K80" s="4"/>
      <c r="L80" s="25"/>
      <c r="M80" s="4"/>
      <c r="N80" s="5"/>
    </row>
    <row r="81" spans="2:14" x14ac:dyDescent="0.25">
      <c r="B81" s="6">
        <v>77</v>
      </c>
      <c r="C81" s="4" t="s">
        <v>466</v>
      </c>
      <c r="D81" s="5" t="s">
        <v>67</v>
      </c>
      <c r="E81" s="17">
        <v>11600</v>
      </c>
      <c r="F81" s="25" t="s">
        <v>363</v>
      </c>
      <c r="G81" s="4"/>
      <c r="H81" s="25"/>
      <c r="I81" s="4"/>
      <c r="J81" s="25"/>
      <c r="K81" s="4"/>
      <c r="L81" s="25"/>
      <c r="M81" s="4"/>
      <c r="N81" s="5"/>
    </row>
    <row r="82" spans="2:14" x14ac:dyDescent="0.25">
      <c r="B82" s="6">
        <v>78</v>
      </c>
      <c r="C82" s="4" t="s">
        <v>467</v>
      </c>
      <c r="D82" s="5" t="s">
        <v>419</v>
      </c>
      <c r="E82" s="17">
        <v>2500</v>
      </c>
      <c r="F82" s="25"/>
      <c r="G82" s="4"/>
      <c r="H82" s="25"/>
      <c r="I82" s="4"/>
      <c r="J82" s="25"/>
      <c r="K82" s="4"/>
      <c r="L82" s="25"/>
      <c r="M82" s="4"/>
      <c r="N82" s="5"/>
    </row>
    <row r="83" spans="2:14" x14ac:dyDescent="0.25">
      <c r="B83" s="6">
        <v>79</v>
      </c>
      <c r="C83" s="4" t="s">
        <v>468</v>
      </c>
      <c r="D83" s="5" t="s">
        <v>420</v>
      </c>
      <c r="E83" s="17">
        <v>5000</v>
      </c>
      <c r="F83" s="25"/>
      <c r="G83" s="4"/>
      <c r="H83" s="25"/>
      <c r="I83" s="4"/>
      <c r="J83" s="25"/>
      <c r="K83" s="4"/>
      <c r="L83" s="25"/>
      <c r="M83" s="4"/>
      <c r="N83" s="5"/>
    </row>
    <row r="84" spans="2:14" x14ac:dyDescent="0.25">
      <c r="B84" s="6">
        <v>80</v>
      </c>
      <c r="C84" s="4" t="s">
        <v>469</v>
      </c>
      <c r="D84" s="5" t="s">
        <v>68</v>
      </c>
      <c r="E84" s="17">
        <v>4600</v>
      </c>
      <c r="F84" s="25"/>
      <c r="G84" s="4"/>
      <c r="H84" s="25"/>
      <c r="I84" s="4"/>
      <c r="J84" s="25"/>
      <c r="K84" s="4"/>
      <c r="L84" s="25"/>
      <c r="M84" s="4"/>
      <c r="N84" s="5"/>
    </row>
    <row r="85" spans="2:14" x14ac:dyDescent="0.25">
      <c r="B85" s="6">
        <v>81</v>
      </c>
      <c r="C85" s="4" t="s">
        <v>470</v>
      </c>
      <c r="D85" s="5" t="s">
        <v>69</v>
      </c>
      <c r="E85" s="17">
        <v>9200</v>
      </c>
      <c r="F85" s="47"/>
      <c r="G85" s="44"/>
      <c r="H85" s="47"/>
      <c r="I85" s="44"/>
      <c r="J85" s="47"/>
      <c r="K85" s="44"/>
      <c r="L85" s="47"/>
      <c r="M85" s="44"/>
      <c r="N85" s="45"/>
    </row>
    <row r="86" spans="2:14" x14ac:dyDescent="0.25">
      <c r="B86" s="6">
        <v>82</v>
      </c>
      <c r="C86" s="4" t="s">
        <v>471</v>
      </c>
      <c r="D86" s="5" t="s">
        <v>70</v>
      </c>
      <c r="E86" s="17">
        <v>1838</v>
      </c>
      <c r="F86" s="47"/>
      <c r="G86" s="44"/>
      <c r="H86" s="47"/>
      <c r="I86" s="44"/>
      <c r="J86" s="47"/>
      <c r="K86" s="44"/>
      <c r="L86" s="47"/>
      <c r="M86" s="44"/>
      <c r="N86" s="45"/>
    </row>
    <row r="87" spans="2:14" x14ac:dyDescent="0.25">
      <c r="B87" s="43">
        <v>83</v>
      </c>
      <c r="C87" s="4" t="s">
        <v>472</v>
      </c>
      <c r="D87" s="5" t="s">
        <v>71</v>
      </c>
      <c r="E87" s="17">
        <v>3675</v>
      </c>
      <c r="F87" s="47"/>
      <c r="G87" s="46"/>
      <c r="H87" s="47"/>
      <c r="I87" s="44"/>
      <c r="J87" s="47"/>
      <c r="K87" s="44"/>
      <c r="L87" s="47"/>
      <c r="M87" s="44"/>
      <c r="N87" s="45"/>
    </row>
    <row r="88" spans="2:14" x14ac:dyDescent="0.25">
      <c r="B88" s="6">
        <v>84</v>
      </c>
      <c r="C88" s="4" t="s">
        <v>473</v>
      </c>
      <c r="D88" s="5" t="s">
        <v>72</v>
      </c>
      <c r="E88" s="17">
        <v>7350</v>
      </c>
      <c r="F88" s="47"/>
      <c r="G88" s="44"/>
      <c r="H88" s="47"/>
      <c r="I88" s="44"/>
      <c r="J88" s="47"/>
      <c r="K88" s="44"/>
      <c r="L88" s="47"/>
      <c r="M88" s="44"/>
      <c r="N88" s="45"/>
    </row>
    <row r="89" spans="2:14" x14ac:dyDescent="0.25">
      <c r="B89" s="6">
        <v>85</v>
      </c>
      <c r="C89" s="4" t="s">
        <v>474</v>
      </c>
      <c r="D89" s="5" t="s">
        <v>73</v>
      </c>
      <c r="E89" s="17">
        <v>1395</v>
      </c>
      <c r="F89" s="47"/>
      <c r="G89" s="44"/>
      <c r="H89" s="47"/>
      <c r="I89" s="44"/>
      <c r="J89" s="47"/>
      <c r="K89" s="44"/>
      <c r="L89" s="47"/>
      <c r="M89" s="44"/>
      <c r="N89" s="45"/>
    </row>
    <row r="90" spans="2:14" x14ac:dyDescent="0.25">
      <c r="B90" s="6">
        <v>86</v>
      </c>
      <c r="C90" s="4" t="s">
        <v>475</v>
      </c>
      <c r="D90" s="5" t="s">
        <v>74</v>
      </c>
      <c r="E90" s="17">
        <v>4150</v>
      </c>
      <c r="F90" s="25"/>
      <c r="G90" s="4"/>
      <c r="H90" s="25"/>
      <c r="I90" s="4"/>
      <c r="J90" s="25"/>
      <c r="K90" s="4"/>
      <c r="L90" s="25"/>
      <c r="M90" s="4"/>
      <c r="N90" s="5"/>
    </row>
    <row r="91" spans="2:14" x14ac:dyDescent="0.25">
      <c r="B91" s="6">
        <v>87</v>
      </c>
      <c r="C91" s="4" t="s">
        <v>476</v>
      </c>
      <c r="D91" s="5" t="s">
        <v>75</v>
      </c>
      <c r="E91" s="17">
        <v>5500</v>
      </c>
      <c r="F91" s="25"/>
      <c r="G91" s="4"/>
      <c r="H91" s="25"/>
      <c r="I91" s="4"/>
      <c r="J91" s="25"/>
      <c r="K91" s="4"/>
      <c r="L91" s="25"/>
      <c r="M91" s="4"/>
      <c r="N91" s="5"/>
    </row>
    <row r="92" spans="2:14" x14ac:dyDescent="0.25">
      <c r="B92" s="6">
        <v>88</v>
      </c>
      <c r="C92" s="4" t="s">
        <v>477</v>
      </c>
      <c r="D92" s="5" t="s">
        <v>76</v>
      </c>
      <c r="E92" s="17">
        <v>11000</v>
      </c>
      <c r="F92" s="25"/>
      <c r="G92" s="4"/>
      <c r="H92" s="25"/>
      <c r="I92" s="4"/>
      <c r="J92" s="25"/>
      <c r="K92" s="4"/>
      <c r="L92" s="25"/>
      <c r="M92" s="4"/>
      <c r="N92" s="5"/>
    </row>
    <row r="93" spans="2:14" x14ac:dyDescent="0.25">
      <c r="B93" s="6">
        <v>89</v>
      </c>
      <c r="C93" s="4" t="s">
        <v>478</v>
      </c>
      <c r="D93" s="5" t="s">
        <v>77</v>
      </c>
      <c r="E93" s="17">
        <v>16500</v>
      </c>
      <c r="F93" s="25"/>
      <c r="G93" s="4"/>
      <c r="H93" s="25"/>
      <c r="I93" s="4"/>
      <c r="J93" s="25"/>
      <c r="K93" s="4"/>
      <c r="L93" s="25"/>
      <c r="M93" s="4"/>
      <c r="N93" s="5"/>
    </row>
    <row r="94" spans="2:14" x14ac:dyDescent="0.25">
      <c r="B94" s="6">
        <v>90</v>
      </c>
      <c r="C94" s="4" t="s">
        <v>479</v>
      </c>
      <c r="D94" s="5" t="s">
        <v>78</v>
      </c>
      <c r="E94" s="17">
        <v>4500</v>
      </c>
      <c r="F94" s="25"/>
      <c r="G94" s="4"/>
      <c r="H94" s="25"/>
      <c r="I94" s="4"/>
      <c r="J94" s="25"/>
      <c r="K94" s="4"/>
      <c r="L94" s="25"/>
      <c r="M94" s="4"/>
      <c r="N94" s="5"/>
    </row>
    <row r="95" spans="2:14" x14ac:dyDescent="0.25">
      <c r="B95" s="6">
        <v>91</v>
      </c>
      <c r="C95" s="4" t="s">
        <v>480</v>
      </c>
      <c r="D95" s="5" t="s">
        <v>79</v>
      </c>
      <c r="E95" s="17">
        <v>6000</v>
      </c>
      <c r="F95" s="25"/>
      <c r="G95" s="4"/>
      <c r="H95" s="25"/>
      <c r="I95" s="4"/>
      <c r="J95" s="25"/>
      <c r="K95" s="4"/>
      <c r="L95" s="25"/>
      <c r="M95" s="4"/>
      <c r="N95" s="5"/>
    </row>
    <row r="96" spans="2:14" x14ac:dyDescent="0.25">
      <c r="B96" s="6">
        <v>92</v>
      </c>
      <c r="C96" s="4" t="s">
        <v>481</v>
      </c>
      <c r="D96" s="5" t="s">
        <v>80</v>
      </c>
      <c r="E96" s="17">
        <v>12000</v>
      </c>
      <c r="F96" s="25"/>
      <c r="G96" s="4"/>
      <c r="H96" s="25"/>
      <c r="I96" s="4"/>
      <c r="J96" s="25"/>
      <c r="K96" s="4"/>
      <c r="L96" s="25"/>
      <c r="M96" s="4"/>
      <c r="N96" s="5"/>
    </row>
    <row r="97" spans="2:14" x14ac:dyDescent="0.25">
      <c r="B97" s="6">
        <v>93</v>
      </c>
      <c r="C97" s="4" t="s">
        <v>482</v>
      </c>
      <c r="D97" s="5" t="s">
        <v>81</v>
      </c>
      <c r="E97" s="17">
        <v>11025</v>
      </c>
      <c r="F97" s="25"/>
      <c r="G97" s="4"/>
      <c r="H97" s="25"/>
      <c r="I97" s="4"/>
      <c r="J97" s="25"/>
      <c r="K97" s="4"/>
      <c r="L97" s="25"/>
      <c r="M97" s="4"/>
      <c r="N97" s="5"/>
    </row>
    <row r="98" spans="2:14" x14ac:dyDescent="0.25">
      <c r="B98" s="6">
        <v>94</v>
      </c>
      <c r="C98" s="4" t="s">
        <v>483</v>
      </c>
      <c r="D98" s="5" t="s">
        <v>82</v>
      </c>
      <c r="E98" s="17">
        <v>1450</v>
      </c>
      <c r="F98" s="25"/>
      <c r="G98" s="4"/>
      <c r="H98" s="25"/>
      <c r="I98" s="4"/>
      <c r="J98" s="25"/>
      <c r="K98" s="4"/>
      <c r="L98" s="25"/>
      <c r="M98" s="4"/>
      <c r="N98" s="5"/>
    </row>
    <row r="99" spans="2:14" x14ac:dyDescent="0.25">
      <c r="B99" s="6">
        <v>95</v>
      </c>
      <c r="C99" s="4" t="s">
        <v>484</v>
      </c>
      <c r="D99" s="5" t="s">
        <v>83</v>
      </c>
      <c r="E99" s="17">
        <v>5873</v>
      </c>
      <c r="F99" s="25"/>
      <c r="G99" s="4"/>
      <c r="H99" s="25"/>
      <c r="I99" s="4"/>
      <c r="J99" s="25"/>
      <c r="K99" s="4"/>
      <c r="L99" s="25"/>
      <c r="M99" s="4"/>
      <c r="N99" s="5"/>
    </row>
    <row r="100" spans="2:14" x14ac:dyDescent="0.25">
      <c r="B100" s="6">
        <v>96</v>
      </c>
      <c r="C100" s="4" t="s">
        <v>485</v>
      </c>
      <c r="D100" s="5" t="s">
        <v>84</v>
      </c>
      <c r="E100" s="17">
        <v>11745</v>
      </c>
      <c r="F100" s="25"/>
      <c r="G100" s="4"/>
      <c r="H100" s="25"/>
      <c r="I100" s="4"/>
      <c r="J100" s="25"/>
      <c r="K100" s="4"/>
      <c r="L100" s="25"/>
      <c r="M100" s="4"/>
      <c r="N100" s="5"/>
    </row>
    <row r="101" spans="2:14" x14ac:dyDescent="0.25">
      <c r="B101" s="6">
        <v>97</v>
      </c>
      <c r="C101" s="39"/>
      <c r="D101" s="5" t="s">
        <v>85</v>
      </c>
      <c r="E101" s="17">
        <v>6750</v>
      </c>
      <c r="F101" s="25"/>
      <c r="G101" s="4"/>
      <c r="H101" s="25"/>
      <c r="I101" s="4"/>
      <c r="J101" s="25"/>
      <c r="K101" s="4"/>
      <c r="L101" s="25"/>
      <c r="M101" s="4"/>
      <c r="N101" s="5"/>
    </row>
    <row r="102" spans="2:14" x14ac:dyDescent="0.25">
      <c r="B102" s="6">
        <v>98</v>
      </c>
      <c r="C102" s="39"/>
      <c r="D102" s="5" t="s">
        <v>86</v>
      </c>
      <c r="E102" s="17">
        <v>4350</v>
      </c>
      <c r="F102" s="25"/>
      <c r="G102" s="4"/>
      <c r="H102" s="25"/>
      <c r="I102" s="4"/>
      <c r="J102" s="25"/>
      <c r="K102" s="4"/>
      <c r="L102" s="25"/>
      <c r="M102" s="4"/>
      <c r="N102" s="5"/>
    </row>
    <row r="103" spans="2:14" x14ac:dyDescent="0.25">
      <c r="B103" s="6">
        <v>99</v>
      </c>
      <c r="C103" s="39"/>
      <c r="D103" s="5" t="s">
        <v>87</v>
      </c>
      <c r="E103" s="17">
        <v>4350</v>
      </c>
      <c r="F103" s="25"/>
      <c r="G103" s="4"/>
      <c r="H103" s="25"/>
      <c r="I103" s="4"/>
      <c r="J103" s="25"/>
      <c r="K103" s="4"/>
      <c r="L103" s="25"/>
      <c r="M103" s="4"/>
      <c r="N103" s="5"/>
    </row>
    <row r="104" spans="2:14" ht="45" x14ac:dyDescent="0.25">
      <c r="B104" s="6">
        <v>100</v>
      </c>
      <c r="C104" s="6" t="s">
        <v>506</v>
      </c>
      <c r="D104" s="7" t="s">
        <v>88</v>
      </c>
      <c r="E104" s="8">
        <v>22500</v>
      </c>
      <c r="F104" s="25"/>
      <c r="G104" s="4"/>
      <c r="H104" s="25"/>
      <c r="I104" s="4"/>
      <c r="J104" s="25"/>
      <c r="K104" s="4"/>
      <c r="L104" s="25"/>
      <c r="M104" s="4"/>
      <c r="N104" s="5"/>
    </row>
    <row r="105" spans="2:14" ht="30" x14ac:dyDescent="0.25">
      <c r="B105" s="6">
        <v>101</v>
      </c>
      <c r="C105" s="6" t="s">
        <v>506</v>
      </c>
      <c r="D105" s="7" t="s">
        <v>89</v>
      </c>
      <c r="E105" s="17">
        <v>16000</v>
      </c>
      <c r="F105" s="25"/>
      <c r="G105" s="4"/>
      <c r="H105" s="25"/>
      <c r="I105" s="4"/>
      <c r="J105" s="25"/>
      <c r="K105" s="4"/>
      <c r="L105" s="25"/>
      <c r="M105" s="4"/>
      <c r="N105" s="5"/>
    </row>
    <row r="106" spans="2:14" ht="45" x14ac:dyDescent="0.25">
      <c r="B106" s="6">
        <v>102</v>
      </c>
      <c r="C106" s="6" t="s">
        <v>507</v>
      </c>
      <c r="D106" s="7" t="s">
        <v>90</v>
      </c>
      <c r="E106" s="8">
        <v>18919</v>
      </c>
      <c r="F106" s="26" t="s">
        <v>365</v>
      </c>
      <c r="G106" s="4"/>
      <c r="H106" s="25"/>
      <c r="I106" s="4"/>
      <c r="J106" s="25"/>
      <c r="K106" s="4"/>
      <c r="L106" s="25"/>
      <c r="M106" s="4"/>
      <c r="N106" s="5"/>
    </row>
    <row r="107" spans="2:14" x14ac:dyDescent="0.25">
      <c r="B107" s="6">
        <v>103</v>
      </c>
      <c r="C107" s="4" t="s">
        <v>508</v>
      </c>
      <c r="D107" s="5" t="s">
        <v>93</v>
      </c>
      <c r="E107" s="17">
        <v>8700</v>
      </c>
      <c r="F107" s="25"/>
      <c r="G107" s="4"/>
      <c r="H107" s="25"/>
      <c r="I107" s="4"/>
      <c r="J107" s="25"/>
      <c r="K107" s="4"/>
      <c r="L107" s="25"/>
      <c r="M107" s="4"/>
      <c r="N107" s="5"/>
    </row>
    <row r="108" spans="2:14" x14ac:dyDescent="0.25">
      <c r="B108" s="6">
        <v>104</v>
      </c>
      <c r="C108" s="4" t="s">
        <v>509</v>
      </c>
      <c r="D108" s="5" t="s">
        <v>94</v>
      </c>
      <c r="E108" s="17">
        <v>5800</v>
      </c>
      <c r="F108" s="25"/>
      <c r="G108" s="4"/>
      <c r="H108" s="25"/>
      <c r="I108" s="4"/>
      <c r="J108" s="25"/>
      <c r="K108" s="4"/>
      <c r="L108" s="25"/>
      <c r="M108" s="4"/>
      <c r="N108" s="5"/>
    </row>
    <row r="109" spans="2:14" x14ac:dyDescent="0.25">
      <c r="B109" s="6">
        <v>105</v>
      </c>
      <c r="C109" s="4" t="s">
        <v>510</v>
      </c>
      <c r="D109" s="5" t="s">
        <v>95</v>
      </c>
      <c r="E109" s="17">
        <v>8690</v>
      </c>
      <c r="F109" s="25"/>
      <c r="G109" s="4"/>
      <c r="H109" s="25"/>
      <c r="I109" s="4"/>
      <c r="J109" s="25"/>
      <c r="K109" s="4"/>
      <c r="L109" s="25"/>
      <c r="M109" s="4"/>
      <c r="N109" s="5"/>
    </row>
    <row r="110" spans="2:14" x14ac:dyDescent="0.25">
      <c r="B110" s="6">
        <v>106</v>
      </c>
      <c r="C110" s="4" t="s">
        <v>511</v>
      </c>
      <c r="D110" s="5" t="s">
        <v>96</v>
      </c>
      <c r="E110" s="17">
        <v>5150</v>
      </c>
      <c r="F110" s="25"/>
      <c r="G110" s="4"/>
      <c r="H110" s="25"/>
      <c r="I110" s="4"/>
      <c r="J110" s="25"/>
      <c r="K110" s="4"/>
      <c r="L110" s="25"/>
      <c r="M110" s="4"/>
      <c r="N110" s="5"/>
    </row>
    <row r="111" spans="2:14" x14ac:dyDescent="0.25">
      <c r="B111" s="6">
        <v>107</v>
      </c>
      <c r="C111" s="4" t="s">
        <v>512</v>
      </c>
      <c r="D111" s="5" t="s">
        <v>97</v>
      </c>
      <c r="E111" s="17">
        <v>5800</v>
      </c>
      <c r="F111" s="25"/>
      <c r="G111" s="4"/>
      <c r="H111" s="25"/>
      <c r="I111" s="4"/>
      <c r="J111" s="25"/>
      <c r="K111" s="4"/>
      <c r="L111" s="25"/>
      <c r="M111" s="4"/>
      <c r="N111" s="5"/>
    </row>
    <row r="112" spans="2:14" x14ac:dyDescent="0.25">
      <c r="B112" s="6">
        <v>108</v>
      </c>
      <c r="C112" s="4" t="s">
        <v>513</v>
      </c>
      <c r="D112" s="5" t="s">
        <v>98</v>
      </c>
      <c r="E112" s="17">
        <v>5150</v>
      </c>
      <c r="F112" s="25"/>
      <c r="G112" s="4"/>
      <c r="H112" s="25"/>
      <c r="I112" s="4"/>
      <c r="J112" s="25"/>
      <c r="K112" s="4"/>
      <c r="L112" s="25"/>
      <c r="M112" s="4"/>
      <c r="N112" s="5"/>
    </row>
    <row r="113" spans="2:14" x14ac:dyDescent="0.25">
      <c r="B113" s="6">
        <v>109</v>
      </c>
      <c r="C113" s="4" t="s">
        <v>514</v>
      </c>
      <c r="D113" s="5" t="s">
        <v>99</v>
      </c>
      <c r="E113" s="17">
        <v>5800</v>
      </c>
      <c r="F113" s="25"/>
      <c r="G113" s="4"/>
      <c r="H113" s="25"/>
      <c r="I113" s="4"/>
      <c r="J113" s="25"/>
      <c r="K113" s="4"/>
      <c r="L113" s="25"/>
      <c r="M113" s="4"/>
      <c r="N113" s="5"/>
    </row>
    <row r="114" spans="2:14" x14ac:dyDescent="0.25">
      <c r="B114" s="6">
        <v>110</v>
      </c>
      <c r="C114" s="4" t="s">
        <v>515</v>
      </c>
      <c r="D114" s="5" t="s">
        <v>100</v>
      </c>
      <c r="E114" s="17">
        <v>5800</v>
      </c>
      <c r="F114" s="25"/>
      <c r="G114" s="4"/>
      <c r="H114" s="25"/>
      <c r="I114" s="4"/>
      <c r="J114" s="25"/>
      <c r="K114" s="4"/>
      <c r="L114" s="25"/>
      <c r="M114" s="4"/>
      <c r="N114" s="5"/>
    </row>
    <row r="115" spans="2:14" ht="30" x14ac:dyDescent="0.25">
      <c r="B115" s="6">
        <v>111</v>
      </c>
      <c r="C115" s="39"/>
      <c r="D115" s="14" t="s">
        <v>101</v>
      </c>
      <c r="E115" s="17">
        <v>60000</v>
      </c>
      <c r="F115" s="25"/>
      <c r="G115" s="4"/>
      <c r="H115" s="25"/>
      <c r="I115" s="4"/>
      <c r="J115" s="25"/>
      <c r="K115" s="4"/>
      <c r="L115" s="25"/>
      <c r="M115" s="4"/>
      <c r="N115" s="5"/>
    </row>
    <row r="116" spans="2:14" x14ac:dyDescent="0.25">
      <c r="B116" s="6">
        <v>112</v>
      </c>
      <c r="C116" s="39"/>
      <c r="D116" s="5" t="s">
        <v>102</v>
      </c>
      <c r="E116" s="17">
        <v>5800</v>
      </c>
      <c r="F116" s="25"/>
      <c r="G116" s="4"/>
      <c r="H116" s="25"/>
      <c r="I116" s="4"/>
      <c r="J116" s="25"/>
      <c r="K116" s="4"/>
      <c r="L116" s="25"/>
      <c r="M116" s="4"/>
      <c r="N116" s="5"/>
    </row>
    <row r="117" spans="2:14" x14ac:dyDescent="0.25">
      <c r="B117" s="6">
        <v>113</v>
      </c>
      <c r="C117" s="4" t="s">
        <v>516</v>
      </c>
      <c r="D117" s="5" t="s">
        <v>371</v>
      </c>
      <c r="E117" s="17">
        <v>17117</v>
      </c>
      <c r="F117" s="25"/>
      <c r="G117" s="17">
        <v>16216</v>
      </c>
      <c r="H117" s="25" t="s">
        <v>366</v>
      </c>
      <c r="I117" s="17">
        <v>13063</v>
      </c>
      <c r="J117" s="25" t="s">
        <v>368</v>
      </c>
      <c r="K117" s="21"/>
      <c r="L117" s="29"/>
      <c r="M117" s="4"/>
      <c r="N117" s="5"/>
    </row>
    <row r="118" spans="2:14" x14ac:dyDescent="0.25">
      <c r="B118" s="6">
        <v>114</v>
      </c>
      <c r="C118" s="4" t="s">
        <v>517</v>
      </c>
      <c r="D118" s="5" t="s">
        <v>103</v>
      </c>
      <c r="E118" s="15">
        <v>2252</v>
      </c>
      <c r="F118" s="25"/>
      <c r="G118" s="4"/>
      <c r="H118" s="25" t="s">
        <v>366</v>
      </c>
      <c r="I118" s="17">
        <v>1900</v>
      </c>
      <c r="J118" s="25" t="s">
        <v>373</v>
      </c>
      <c r="K118" s="17">
        <v>1900</v>
      </c>
      <c r="L118" s="5" t="s">
        <v>374</v>
      </c>
      <c r="M118" s="4"/>
      <c r="N118" s="5"/>
    </row>
    <row r="119" spans="2:14" x14ac:dyDescent="0.25">
      <c r="B119" s="6">
        <v>115</v>
      </c>
      <c r="C119" s="4" t="s">
        <v>518</v>
      </c>
      <c r="D119" s="5" t="s">
        <v>104</v>
      </c>
      <c r="E119" s="15">
        <v>3423</v>
      </c>
      <c r="F119" s="25"/>
      <c r="G119" s="4"/>
      <c r="H119" s="25" t="s">
        <v>366</v>
      </c>
      <c r="I119" s="17">
        <v>2900</v>
      </c>
      <c r="J119" s="25" t="s">
        <v>373</v>
      </c>
      <c r="K119" s="17">
        <v>2900</v>
      </c>
      <c r="L119" s="5" t="s">
        <v>374</v>
      </c>
      <c r="M119" s="4"/>
      <c r="N119" s="5"/>
    </row>
    <row r="120" spans="2:14" x14ac:dyDescent="0.25">
      <c r="B120" s="6">
        <v>116</v>
      </c>
      <c r="C120" s="4" t="s">
        <v>519</v>
      </c>
      <c r="D120" s="5" t="s">
        <v>105</v>
      </c>
      <c r="E120" s="15">
        <v>5225.2299999999996</v>
      </c>
      <c r="F120" s="25"/>
      <c r="G120" s="17">
        <v>4505</v>
      </c>
      <c r="H120" s="25" t="s">
        <v>366</v>
      </c>
      <c r="I120" s="17">
        <v>3800</v>
      </c>
      <c r="J120" s="25" t="s">
        <v>373</v>
      </c>
      <c r="K120" s="17">
        <v>3800</v>
      </c>
      <c r="L120" s="5" t="s">
        <v>374</v>
      </c>
      <c r="M120" s="4"/>
      <c r="N120" s="5"/>
    </row>
    <row r="121" spans="2:14" x14ac:dyDescent="0.25">
      <c r="B121" s="6">
        <v>117</v>
      </c>
      <c r="C121" s="4" t="s">
        <v>520</v>
      </c>
      <c r="D121" s="5" t="s">
        <v>106</v>
      </c>
      <c r="E121" s="15">
        <v>8108</v>
      </c>
      <c r="G121" s="4"/>
      <c r="H121" s="25" t="s">
        <v>375</v>
      </c>
      <c r="I121" s="4"/>
      <c r="J121" s="25"/>
      <c r="K121" s="4"/>
      <c r="L121" s="5"/>
      <c r="M121" s="4"/>
      <c r="N121" s="5"/>
    </row>
    <row r="122" spans="2:14" x14ac:dyDescent="0.25">
      <c r="B122" s="6">
        <v>118</v>
      </c>
      <c r="C122" s="4" t="s">
        <v>521</v>
      </c>
      <c r="D122" s="5" t="s">
        <v>107</v>
      </c>
      <c r="E122" s="15">
        <v>7400</v>
      </c>
      <c r="F122" s="25" t="s">
        <v>373</v>
      </c>
      <c r="G122" s="17"/>
      <c r="H122" s="25"/>
      <c r="I122" s="17">
        <v>7200</v>
      </c>
      <c r="J122" s="25" t="s">
        <v>376</v>
      </c>
      <c r="K122" s="17">
        <v>7200</v>
      </c>
      <c r="L122" s="5" t="s">
        <v>374</v>
      </c>
      <c r="M122" s="4"/>
      <c r="N122" s="5"/>
    </row>
    <row r="123" spans="2:14" x14ac:dyDescent="0.25">
      <c r="B123" s="6">
        <v>119</v>
      </c>
      <c r="C123" s="4" t="s">
        <v>522</v>
      </c>
      <c r="D123" s="5" t="s">
        <v>108</v>
      </c>
      <c r="E123" s="15">
        <v>5600</v>
      </c>
      <c r="F123" s="25" t="s">
        <v>373</v>
      </c>
      <c r="G123" s="17"/>
      <c r="H123" s="25"/>
      <c r="I123" s="17">
        <v>5450</v>
      </c>
      <c r="J123" s="25" t="s">
        <v>376</v>
      </c>
      <c r="K123" s="17">
        <v>5450</v>
      </c>
      <c r="L123" s="5" t="s">
        <v>374</v>
      </c>
      <c r="M123" s="4"/>
      <c r="N123" s="5"/>
    </row>
    <row r="124" spans="2:14" x14ac:dyDescent="0.25">
      <c r="B124" s="6">
        <v>120</v>
      </c>
      <c r="C124" s="4" t="s">
        <v>523</v>
      </c>
      <c r="D124" s="5" t="s">
        <v>109</v>
      </c>
      <c r="E124" s="15">
        <v>3700</v>
      </c>
      <c r="F124" s="25" t="s">
        <v>373</v>
      </c>
      <c r="G124" s="17"/>
      <c r="H124" s="25"/>
      <c r="I124" s="17">
        <v>3600</v>
      </c>
      <c r="J124" s="25" t="s">
        <v>376</v>
      </c>
      <c r="K124" s="17">
        <v>3600</v>
      </c>
      <c r="L124" s="5" t="s">
        <v>374</v>
      </c>
      <c r="M124" s="4"/>
      <c r="N124" s="5"/>
    </row>
    <row r="125" spans="2:14" x14ac:dyDescent="0.25">
      <c r="B125" s="6">
        <v>121</v>
      </c>
      <c r="C125" s="4" t="s">
        <v>524</v>
      </c>
      <c r="D125" s="5" t="s">
        <v>110</v>
      </c>
      <c r="E125" s="15">
        <v>8640</v>
      </c>
      <c r="F125" s="25" t="s">
        <v>376</v>
      </c>
      <c r="G125" s="4"/>
      <c r="H125" s="25"/>
      <c r="I125" s="4"/>
      <c r="J125" s="25"/>
      <c r="K125" s="17">
        <v>8540</v>
      </c>
      <c r="L125" s="5" t="s">
        <v>374</v>
      </c>
      <c r="M125" s="4"/>
      <c r="N125" s="5"/>
    </row>
    <row r="126" spans="2:14" x14ac:dyDescent="0.25">
      <c r="B126" s="6">
        <v>122</v>
      </c>
      <c r="C126" s="4" t="s">
        <v>525</v>
      </c>
      <c r="D126" s="5" t="s">
        <v>111</v>
      </c>
      <c r="E126" s="15">
        <v>6540</v>
      </c>
      <c r="F126" s="25" t="s">
        <v>376</v>
      </c>
      <c r="G126" s="4"/>
      <c r="H126" s="25"/>
      <c r="I126" s="4"/>
      <c r="J126" s="25"/>
      <c r="K126" s="17">
        <v>6540</v>
      </c>
      <c r="L126" s="5" t="s">
        <v>374</v>
      </c>
      <c r="M126" s="4"/>
      <c r="N126" s="5"/>
    </row>
    <row r="127" spans="2:14" x14ac:dyDescent="0.25">
      <c r="B127" s="6">
        <v>123</v>
      </c>
      <c r="C127" s="4" t="s">
        <v>526</v>
      </c>
      <c r="D127" s="5" t="s">
        <v>112</v>
      </c>
      <c r="E127" s="15">
        <v>0</v>
      </c>
      <c r="F127" s="25"/>
      <c r="G127" s="4"/>
      <c r="H127" s="25"/>
      <c r="I127" s="4"/>
      <c r="J127" s="25"/>
      <c r="K127" s="17">
        <v>4298</v>
      </c>
      <c r="L127" s="5" t="s">
        <v>374</v>
      </c>
      <c r="M127" s="4"/>
      <c r="N127" s="5"/>
    </row>
    <row r="128" spans="2:14" x14ac:dyDescent="0.25">
      <c r="B128" s="6">
        <v>124</v>
      </c>
      <c r="C128" s="4" t="s">
        <v>528</v>
      </c>
      <c r="D128" s="5" t="s">
        <v>113</v>
      </c>
      <c r="E128" s="15">
        <v>7200</v>
      </c>
      <c r="F128" s="25"/>
      <c r="G128" s="4"/>
      <c r="H128" s="25"/>
      <c r="I128" s="4"/>
      <c r="J128" s="25"/>
      <c r="K128" s="17"/>
      <c r="L128" s="25"/>
      <c r="M128" s="17"/>
      <c r="N128" s="5"/>
    </row>
    <row r="129" spans="2:14" x14ac:dyDescent="0.25">
      <c r="B129" s="6">
        <v>125</v>
      </c>
      <c r="C129" s="4" t="s">
        <v>529</v>
      </c>
      <c r="D129" s="5" t="s">
        <v>413</v>
      </c>
      <c r="E129" s="15">
        <v>5600</v>
      </c>
      <c r="F129" s="25" t="s">
        <v>373</v>
      </c>
      <c r="G129" s="17">
        <v>5450</v>
      </c>
      <c r="H129" s="25" t="s">
        <v>376</v>
      </c>
      <c r="I129" s="17"/>
      <c r="J129" s="25"/>
      <c r="K129" s="17"/>
      <c r="L129" s="25"/>
      <c r="M129" s="17"/>
      <c r="N129" s="5"/>
    </row>
    <row r="130" spans="2:14" x14ac:dyDescent="0.25">
      <c r="B130" s="6">
        <v>126</v>
      </c>
      <c r="C130" s="33" t="s">
        <v>527</v>
      </c>
      <c r="D130" s="34" t="s">
        <v>412</v>
      </c>
      <c r="E130" s="35">
        <v>3800</v>
      </c>
      <c r="F130" s="28" t="s">
        <v>374</v>
      </c>
      <c r="G130" s="17"/>
      <c r="H130" s="25"/>
      <c r="I130" s="4"/>
      <c r="J130" s="25"/>
      <c r="K130" s="17"/>
      <c r="L130" s="25"/>
      <c r="M130" s="4"/>
      <c r="N130" s="5"/>
    </row>
    <row r="131" spans="2:14" x14ac:dyDescent="0.25">
      <c r="B131" s="6">
        <v>127</v>
      </c>
      <c r="C131" s="4" t="s">
        <v>530</v>
      </c>
      <c r="D131" s="5" t="s">
        <v>414</v>
      </c>
      <c r="E131" s="17">
        <v>5600</v>
      </c>
      <c r="F131" s="29" t="s">
        <v>373</v>
      </c>
      <c r="G131" s="17">
        <v>5450</v>
      </c>
      <c r="H131" s="25" t="s">
        <v>376</v>
      </c>
      <c r="I131" s="17"/>
      <c r="J131" s="25"/>
      <c r="K131" s="17">
        <v>5450</v>
      </c>
      <c r="L131" s="25" t="s">
        <v>374</v>
      </c>
      <c r="M131" s="4"/>
      <c r="N131" s="5"/>
    </row>
    <row r="132" spans="2:14" x14ac:dyDescent="0.25">
      <c r="B132" s="6">
        <v>128</v>
      </c>
      <c r="C132" s="4" t="s">
        <v>531</v>
      </c>
      <c r="D132" s="5" t="s">
        <v>415</v>
      </c>
      <c r="E132" s="17">
        <v>7400</v>
      </c>
      <c r="F132" s="29" t="s">
        <v>373</v>
      </c>
      <c r="G132" s="17">
        <v>7200</v>
      </c>
      <c r="H132" s="25" t="s">
        <v>376</v>
      </c>
      <c r="I132" s="17"/>
      <c r="J132" s="25"/>
      <c r="K132" s="17">
        <v>7200</v>
      </c>
      <c r="L132" s="25" t="s">
        <v>374</v>
      </c>
      <c r="M132" s="4"/>
      <c r="N132" s="5"/>
    </row>
    <row r="133" spans="2:14" x14ac:dyDescent="0.25">
      <c r="B133" s="6">
        <v>129</v>
      </c>
      <c r="C133" s="4" t="s">
        <v>532</v>
      </c>
      <c r="D133" s="5" t="s">
        <v>114</v>
      </c>
      <c r="E133" s="17">
        <v>2252</v>
      </c>
      <c r="F133" s="25"/>
      <c r="G133" s="4"/>
      <c r="H133" s="25" t="s">
        <v>366</v>
      </c>
      <c r="I133" s="17">
        <v>1900</v>
      </c>
      <c r="J133" s="25" t="s">
        <v>373</v>
      </c>
      <c r="K133" s="4"/>
      <c r="L133" s="25"/>
      <c r="M133" s="4"/>
      <c r="N133" s="5"/>
    </row>
    <row r="134" spans="2:14" x14ac:dyDescent="0.25">
      <c r="B134" s="6">
        <v>130</v>
      </c>
      <c r="C134" s="4" t="s">
        <v>533</v>
      </c>
      <c r="D134" s="5" t="s">
        <v>115</v>
      </c>
      <c r="E134" s="17">
        <v>3423</v>
      </c>
      <c r="F134" s="25"/>
      <c r="G134" s="4"/>
      <c r="H134" s="25" t="s">
        <v>366</v>
      </c>
      <c r="I134" s="17">
        <v>2900</v>
      </c>
      <c r="J134" s="25" t="s">
        <v>373</v>
      </c>
      <c r="K134" s="4"/>
      <c r="L134" s="25"/>
      <c r="M134" s="4"/>
      <c r="N134" s="5"/>
    </row>
    <row r="135" spans="2:14" x14ac:dyDescent="0.25">
      <c r="B135" s="6">
        <v>131</v>
      </c>
      <c r="C135" s="4" t="s">
        <v>534</v>
      </c>
      <c r="D135" s="5" t="s">
        <v>116</v>
      </c>
      <c r="E135" s="17">
        <v>4505</v>
      </c>
      <c r="F135" s="25"/>
      <c r="G135" s="4"/>
      <c r="H135" s="25" t="s">
        <v>366</v>
      </c>
      <c r="I135" s="17">
        <v>3800</v>
      </c>
      <c r="J135" s="25" t="s">
        <v>373</v>
      </c>
      <c r="K135" s="4"/>
      <c r="L135" s="25"/>
      <c r="M135" s="4"/>
      <c r="N135" s="5"/>
    </row>
    <row r="136" spans="2:14" ht="30" x14ac:dyDescent="0.25">
      <c r="B136" s="6">
        <v>132</v>
      </c>
      <c r="C136" s="4" t="s">
        <v>697</v>
      </c>
      <c r="D136" s="14" t="s">
        <v>117</v>
      </c>
      <c r="E136" s="17">
        <v>1441</v>
      </c>
      <c r="F136" s="25"/>
      <c r="G136" s="4"/>
      <c r="H136" s="25" t="s">
        <v>366</v>
      </c>
      <c r="I136" s="4"/>
      <c r="J136" s="25"/>
      <c r="K136" s="17"/>
      <c r="L136" s="25"/>
      <c r="M136" s="4"/>
      <c r="N136" s="5"/>
    </row>
    <row r="137" spans="2:14" ht="30" x14ac:dyDescent="0.25">
      <c r="B137" s="6">
        <v>133</v>
      </c>
      <c r="C137" s="4" t="s">
        <v>696</v>
      </c>
      <c r="D137" s="14" t="s">
        <v>118</v>
      </c>
      <c r="E137" s="17">
        <v>2703</v>
      </c>
      <c r="F137" s="25"/>
      <c r="G137" s="4"/>
      <c r="H137" s="25" t="s">
        <v>377</v>
      </c>
      <c r="I137" s="4"/>
      <c r="J137" s="25"/>
      <c r="K137" s="17"/>
      <c r="L137" s="25"/>
      <c r="M137" s="4"/>
      <c r="N137" s="5"/>
    </row>
    <row r="138" spans="2:14" ht="30" x14ac:dyDescent="0.25">
      <c r="B138" s="6">
        <v>134</v>
      </c>
      <c r="C138" s="4" t="s">
        <v>698</v>
      </c>
      <c r="D138" s="14" t="s">
        <v>119</v>
      </c>
      <c r="E138" s="17">
        <v>5405</v>
      </c>
      <c r="F138" s="25"/>
      <c r="G138" s="4"/>
      <c r="H138" s="25" t="s">
        <v>366</v>
      </c>
      <c r="I138" s="4"/>
      <c r="J138" s="25"/>
      <c r="K138" s="17"/>
      <c r="L138" s="25"/>
      <c r="M138" s="4"/>
      <c r="N138" s="5"/>
    </row>
    <row r="139" spans="2:14" x14ac:dyDescent="0.25">
      <c r="B139" s="6">
        <v>135</v>
      </c>
      <c r="C139" s="4" t="s">
        <v>535</v>
      </c>
      <c r="D139" s="5" t="s">
        <v>120</v>
      </c>
      <c r="E139" s="17">
        <v>721</v>
      </c>
      <c r="F139" s="25" t="s">
        <v>366</v>
      </c>
      <c r="G139" s="17">
        <v>586</v>
      </c>
      <c r="H139" s="25" t="s">
        <v>378</v>
      </c>
      <c r="I139" s="17"/>
      <c r="J139" s="25"/>
      <c r="K139" s="17"/>
      <c r="L139" s="25"/>
      <c r="M139" s="4"/>
      <c r="N139" s="5"/>
    </row>
    <row r="140" spans="2:14" x14ac:dyDescent="0.25">
      <c r="B140" s="6">
        <v>136</v>
      </c>
      <c r="C140" s="4" t="s">
        <v>694</v>
      </c>
      <c r="D140" s="5" t="s">
        <v>121</v>
      </c>
      <c r="E140" s="17">
        <v>1081</v>
      </c>
      <c r="F140" s="25" t="s">
        <v>366</v>
      </c>
      <c r="G140" s="17">
        <v>721</v>
      </c>
      <c r="H140" s="25" t="s">
        <v>378</v>
      </c>
      <c r="I140" s="17"/>
      <c r="J140" s="25"/>
      <c r="K140" s="17"/>
      <c r="L140" s="25"/>
      <c r="M140" s="4"/>
      <c r="N140" s="5"/>
    </row>
    <row r="141" spans="2:14" x14ac:dyDescent="0.25">
      <c r="B141" s="6">
        <v>137</v>
      </c>
      <c r="C141" s="4" t="s">
        <v>693</v>
      </c>
      <c r="D141" s="5" t="s">
        <v>122</v>
      </c>
      <c r="E141" s="17">
        <v>2072</v>
      </c>
      <c r="F141" s="25" t="s">
        <v>366</v>
      </c>
      <c r="G141" s="17">
        <v>1622</v>
      </c>
      <c r="H141" s="25" t="s">
        <v>378</v>
      </c>
      <c r="I141" s="17"/>
      <c r="J141" s="25"/>
      <c r="K141" s="17"/>
      <c r="L141" s="25"/>
      <c r="M141" s="4"/>
      <c r="N141" s="5"/>
    </row>
    <row r="142" spans="2:14" x14ac:dyDescent="0.25">
      <c r="B142" s="6">
        <v>138</v>
      </c>
      <c r="C142" s="4" t="s">
        <v>695</v>
      </c>
      <c r="D142" s="5" t="s">
        <v>123</v>
      </c>
      <c r="E142" s="17">
        <v>4144</v>
      </c>
      <c r="F142" s="25" t="s">
        <v>366</v>
      </c>
      <c r="G142" s="17">
        <v>3423</v>
      </c>
      <c r="H142" s="25" t="s">
        <v>378</v>
      </c>
      <c r="I142" s="17"/>
      <c r="J142" s="25"/>
      <c r="K142" s="17"/>
      <c r="L142" s="25"/>
      <c r="M142" s="4"/>
      <c r="N142" s="5"/>
    </row>
    <row r="143" spans="2:14" x14ac:dyDescent="0.25">
      <c r="B143" s="6">
        <v>139</v>
      </c>
      <c r="C143" s="4" t="s">
        <v>536</v>
      </c>
      <c r="D143" s="5" t="s">
        <v>124</v>
      </c>
      <c r="E143" s="15"/>
      <c r="F143" s="25"/>
      <c r="G143" s="4"/>
      <c r="H143" s="25"/>
      <c r="I143" s="17"/>
      <c r="J143" s="25"/>
      <c r="K143" s="17"/>
      <c r="L143" s="25"/>
      <c r="M143" s="4"/>
      <c r="N143" s="5"/>
    </row>
    <row r="144" spans="2:14" x14ac:dyDescent="0.25">
      <c r="B144" s="6">
        <v>140</v>
      </c>
      <c r="C144" s="4" t="s">
        <v>537</v>
      </c>
      <c r="D144" s="5" t="s">
        <v>125</v>
      </c>
      <c r="E144" s="15">
        <f>ROUND((1400/1.11),0)</f>
        <v>1261</v>
      </c>
      <c r="F144" s="25"/>
      <c r="G144" s="9"/>
      <c r="H144" s="29" t="s">
        <v>366</v>
      </c>
      <c r="I144" s="17"/>
      <c r="J144" s="25"/>
      <c r="K144" s="17"/>
      <c r="L144" s="25"/>
      <c r="M144" s="4"/>
      <c r="N144" s="5"/>
    </row>
    <row r="145" spans="2:14" x14ac:dyDescent="0.25">
      <c r="B145" s="6">
        <v>141</v>
      </c>
      <c r="C145" s="4" t="s">
        <v>706</v>
      </c>
      <c r="D145" s="5" t="s">
        <v>126</v>
      </c>
      <c r="E145" s="15">
        <v>2433</v>
      </c>
      <c r="F145" s="25"/>
      <c r="G145" s="10">
        <f>ROUND((2600/1.11),0)</f>
        <v>2342</v>
      </c>
      <c r="H145" s="29" t="s">
        <v>379</v>
      </c>
      <c r="I145" s="17"/>
      <c r="J145" s="25"/>
      <c r="K145" s="17"/>
      <c r="L145" s="25"/>
      <c r="M145" s="4"/>
      <c r="N145" s="5"/>
    </row>
    <row r="146" spans="2:14" x14ac:dyDescent="0.25">
      <c r="B146" s="6">
        <v>142</v>
      </c>
      <c r="C146" s="4" t="s">
        <v>538</v>
      </c>
      <c r="D146" s="5" t="s">
        <v>127</v>
      </c>
      <c r="E146" s="15">
        <v>4866</v>
      </c>
      <c r="F146" s="25"/>
      <c r="G146" s="10">
        <f>ROUND((5200/1.11),0)</f>
        <v>4685</v>
      </c>
      <c r="H146" s="29" t="s">
        <v>379</v>
      </c>
      <c r="I146" s="17"/>
      <c r="J146" s="25"/>
      <c r="K146" s="17"/>
      <c r="L146" s="25"/>
      <c r="M146" s="4"/>
      <c r="N146" s="5"/>
    </row>
    <row r="147" spans="2:14" x14ac:dyDescent="0.25">
      <c r="B147" s="6">
        <v>143</v>
      </c>
      <c r="C147" s="4" t="s">
        <v>539</v>
      </c>
      <c r="D147" s="5" t="s">
        <v>128</v>
      </c>
      <c r="E147" s="15">
        <v>3063</v>
      </c>
      <c r="F147" s="25"/>
      <c r="G147" s="10"/>
      <c r="H147" s="29" t="s">
        <v>366</v>
      </c>
      <c r="I147" s="17"/>
      <c r="J147" s="25"/>
      <c r="K147" s="17"/>
      <c r="L147" s="25"/>
      <c r="M147" s="4"/>
      <c r="N147" s="5"/>
    </row>
    <row r="148" spans="2:14" x14ac:dyDescent="0.25">
      <c r="B148" s="6">
        <v>144</v>
      </c>
      <c r="C148" s="4" t="s">
        <v>540</v>
      </c>
      <c r="D148" s="5" t="s">
        <v>129</v>
      </c>
      <c r="E148" s="15">
        <v>1532</v>
      </c>
      <c r="F148" s="25"/>
      <c r="G148" s="10"/>
      <c r="H148" s="29" t="s">
        <v>366</v>
      </c>
      <c r="I148" s="17"/>
      <c r="J148" s="25"/>
      <c r="K148" s="17"/>
      <c r="L148" s="25"/>
      <c r="M148" s="4"/>
      <c r="N148" s="5"/>
    </row>
    <row r="149" spans="2:14" x14ac:dyDescent="0.25">
      <c r="B149" s="6">
        <v>145</v>
      </c>
      <c r="C149" s="4" t="s">
        <v>541</v>
      </c>
      <c r="D149" s="5" t="s">
        <v>130</v>
      </c>
      <c r="E149" s="15">
        <v>2800</v>
      </c>
      <c r="F149" s="22" t="s">
        <v>380</v>
      </c>
      <c r="G149" s="10"/>
      <c r="H149" s="29"/>
      <c r="I149" s="17"/>
      <c r="J149" s="25"/>
      <c r="K149" s="4"/>
      <c r="L149" s="25"/>
      <c r="M149" s="4"/>
      <c r="N149" s="5"/>
    </row>
    <row r="150" spans="2:14" x14ac:dyDescent="0.25">
      <c r="B150" s="6">
        <v>146</v>
      </c>
      <c r="C150" s="4" t="s">
        <v>543</v>
      </c>
      <c r="D150" s="5" t="s">
        <v>131</v>
      </c>
      <c r="E150" s="17">
        <v>4685</v>
      </c>
      <c r="F150" s="25"/>
      <c r="G150" s="10">
        <v>4000</v>
      </c>
      <c r="H150" s="29" t="s">
        <v>381</v>
      </c>
      <c r="I150" s="17"/>
      <c r="J150" s="25"/>
      <c r="K150" s="4"/>
      <c r="L150" s="25"/>
      <c r="M150" s="4"/>
      <c r="N150" s="5"/>
    </row>
    <row r="151" spans="2:14" x14ac:dyDescent="0.25">
      <c r="B151" s="6">
        <v>147</v>
      </c>
      <c r="C151" s="4" t="s">
        <v>544</v>
      </c>
      <c r="D151" s="5" t="s">
        <v>132</v>
      </c>
      <c r="E151" s="17">
        <v>0</v>
      </c>
      <c r="F151" s="25"/>
      <c r="G151" s="9"/>
      <c r="H151" s="29"/>
      <c r="I151" s="17"/>
      <c r="J151" s="25"/>
      <c r="K151" s="17"/>
      <c r="L151" s="25"/>
      <c r="M151" s="4"/>
      <c r="N151" s="5"/>
    </row>
    <row r="152" spans="2:14" x14ac:dyDescent="0.25">
      <c r="B152" s="6">
        <v>148</v>
      </c>
      <c r="C152" s="4" t="s">
        <v>545</v>
      </c>
      <c r="D152" s="5" t="s">
        <v>133</v>
      </c>
      <c r="E152" s="17">
        <v>0</v>
      </c>
      <c r="F152" s="25"/>
      <c r="G152" s="9"/>
      <c r="H152" s="29"/>
      <c r="I152" s="17"/>
      <c r="J152" s="25"/>
      <c r="K152" s="4"/>
      <c r="L152" s="25"/>
      <c r="M152" s="4"/>
      <c r="N152" s="5"/>
    </row>
    <row r="153" spans="2:14" x14ac:dyDescent="0.25">
      <c r="B153" s="6">
        <v>149</v>
      </c>
      <c r="C153" s="4" t="s">
        <v>546</v>
      </c>
      <c r="D153" s="5" t="s">
        <v>134</v>
      </c>
      <c r="E153" s="17">
        <v>4955</v>
      </c>
      <c r="F153" s="25"/>
      <c r="G153" s="10">
        <v>4000</v>
      </c>
      <c r="H153" s="29" t="s">
        <v>381</v>
      </c>
      <c r="I153" s="17"/>
      <c r="J153" s="25"/>
      <c r="K153" s="4"/>
      <c r="L153" s="25"/>
      <c r="M153" s="4"/>
      <c r="N153" s="5"/>
    </row>
    <row r="154" spans="2:14" x14ac:dyDescent="0.25">
      <c r="B154" s="6">
        <v>150</v>
      </c>
      <c r="C154" s="4" t="s">
        <v>547</v>
      </c>
      <c r="D154" s="5" t="s">
        <v>135</v>
      </c>
      <c r="E154" s="17">
        <v>0</v>
      </c>
      <c r="F154" s="25"/>
      <c r="G154" s="10"/>
      <c r="H154" s="29"/>
      <c r="I154" s="23"/>
      <c r="J154" s="29"/>
      <c r="K154" s="23"/>
      <c r="L154" s="29"/>
      <c r="M154" s="4"/>
      <c r="N154" s="5"/>
    </row>
    <row r="155" spans="2:14" x14ac:dyDescent="0.25">
      <c r="B155" s="6">
        <v>151</v>
      </c>
      <c r="C155" s="39"/>
      <c r="D155" s="5" t="s">
        <v>136</v>
      </c>
      <c r="E155" s="18">
        <v>1622</v>
      </c>
      <c r="F155" s="29" t="s">
        <v>366</v>
      </c>
      <c r="G155" s="17"/>
      <c r="H155" s="25"/>
      <c r="I155" s="4"/>
      <c r="J155" s="25"/>
      <c r="K155" s="4"/>
      <c r="L155" s="25"/>
      <c r="M155" s="4"/>
      <c r="N155" s="5"/>
    </row>
    <row r="156" spans="2:14" x14ac:dyDescent="0.25">
      <c r="B156" s="6">
        <v>152</v>
      </c>
      <c r="C156" s="39"/>
      <c r="D156" s="5" t="s">
        <v>137</v>
      </c>
      <c r="E156" s="18">
        <v>991</v>
      </c>
      <c r="F156" s="29" t="s">
        <v>366</v>
      </c>
      <c r="G156" s="17"/>
      <c r="H156" s="25"/>
      <c r="I156" s="4"/>
      <c r="J156" s="25"/>
      <c r="K156" s="4"/>
      <c r="L156" s="25"/>
      <c r="M156" s="4"/>
      <c r="N156" s="5"/>
    </row>
    <row r="157" spans="2:14" x14ac:dyDescent="0.25">
      <c r="B157" s="6">
        <v>153</v>
      </c>
      <c r="C157" s="39"/>
      <c r="D157" s="5" t="s">
        <v>138</v>
      </c>
      <c r="E157" s="18">
        <v>0</v>
      </c>
      <c r="F157" s="25"/>
      <c r="G157" s="17"/>
      <c r="H157" s="25"/>
      <c r="I157" s="4"/>
      <c r="J157" s="25"/>
      <c r="K157" s="4"/>
      <c r="L157" s="25"/>
      <c r="M157" s="4"/>
      <c r="N157" s="5"/>
    </row>
    <row r="158" spans="2:14" x14ac:dyDescent="0.25">
      <c r="B158" s="6">
        <v>154</v>
      </c>
      <c r="C158" s="39"/>
      <c r="D158" s="5" t="s">
        <v>139</v>
      </c>
      <c r="E158" s="18">
        <v>0</v>
      </c>
      <c r="F158" s="25"/>
      <c r="G158" s="17"/>
      <c r="H158" s="25"/>
      <c r="I158" s="4"/>
      <c r="J158" s="25"/>
      <c r="K158" s="4"/>
      <c r="L158" s="25"/>
      <c r="M158" s="4"/>
      <c r="N158" s="5"/>
    </row>
    <row r="159" spans="2:14" x14ac:dyDescent="0.25">
      <c r="B159" s="6">
        <v>155</v>
      </c>
      <c r="C159" s="39"/>
      <c r="D159" s="5" t="s">
        <v>140</v>
      </c>
      <c r="E159" s="17">
        <v>6400</v>
      </c>
      <c r="F159" s="29" t="s">
        <v>348</v>
      </c>
      <c r="G159" s="4"/>
      <c r="H159" s="25"/>
      <c r="I159" s="4"/>
      <c r="J159" s="25"/>
      <c r="K159" s="4"/>
      <c r="L159" s="25"/>
      <c r="M159" s="4"/>
      <c r="N159" s="5"/>
    </row>
    <row r="160" spans="2:14" x14ac:dyDescent="0.25">
      <c r="B160" s="6">
        <v>156</v>
      </c>
      <c r="C160" s="4" t="s">
        <v>548</v>
      </c>
      <c r="D160" s="5" t="s">
        <v>141</v>
      </c>
      <c r="E160" s="17">
        <v>11000</v>
      </c>
      <c r="F160" s="3"/>
      <c r="G160" s="4"/>
      <c r="H160" s="25"/>
      <c r="I160" s="4"/>
      <c r="J160" s="25"/>
      <c r="K160" s="4"/>
      <c r="L160" s="25"/>
      <c r="M160" s="4"/>
      <c r="N160" s="5"/>
    </row>
    <row r="161" spans="2:14" x14ac:dyDescent="0.25">
      <c r="B161" s="6">
        <v>157</v>
      </c>
      <c r="C161" s="4" t="s">
        <v>551</v>
      </c>
      <c r="D161" s="5" t="s">
        <v>142</v>
      </c>
      <c r="E161" s="17">
        <v>4000</v>
      </c>
      <c r="F161" s="29" t="s">
        <v>383</v>
      </c>
      <c r="G161" s="4"/>
      <c r="H161" s="25"/>
      <c r="I161" s="4"/>
      <c r="J161" s="25"/>
      <c r="K161" s="4"/>
      <c r="L161" s="25"/>
      <c r="M161" s="4"/>
      <c r="N161" s="5"/>
    </row>
    <row r="162" spans="2:14" x14ac:dyDescent="0.25">
      <c r="B162" s="6">
        <v>158</v>
      </c>
      <c r="C162" s="4" t="s">
        <v>552</v>
      </c>
      <c r="D162" s="5" t="s">
        <v>143</v>
      </c>
      <c r="E162" s="17">
        <v>2000</v>
      </c>
      <c r="F162" s="29" t="s">
        <v>383</v>
      </c>
      <c r="G162" s="4"/>
      <c r="H162" s="25"/>
      <c r="I162" s="4"/>
      <c r="J162" s="25"/>
      <c r="K162" s="4"/>
      <c r="L162" s="25"/>
      <c r="M162" s="4"/>
      <c r="N162" s="5"/>
    </row>
    <row r="163" spans="2:14" x14ac:dyDescent="0.25">
      <c r="B163" s="6">
        <v>159</v>
      </c>
      <c r="C163" s="4" t="s">
        <v>549</v>
      </c>
      <c r="D163" s="5" t="s">
        <v>144</v>
      </c>
      <c r="E163" s="17">
        <v>3170</v>
      </c>
      <c r="F163" s="25"/>
      <c r="G163" s="4"/>
      <c r="H163" s="25"/>
      <c r="I163" s="4"/>
      <c r="J163" s="25"/>
      <c r="K163" s="4"/>
      <c r="L163" s="25"/>
      <c r="M163" s="4"/>
      <c r="N163" s="5"/>
    </row>
    <row r="164" spans="2:14" x14ac:dyDescent="0.25">
      <c r="B164" s="6">
        <v>160</v>
      </c>
      <c r="C164" s="4" t="s">
        <v>550</v>
      </c>
      <c r="D164" s="5" t="s">
        <v>418</v>
      </c>
      <c r="E164" s="17">
        <v>5260</v>
      </c>
      <c r="F164" s="25"/>
      <c r="G164" s="4"/>
      <c r="H164" s="25"/>
      <c r="I164" s="4"/>
      <c r="J164" s="25"/>
      <c r="K164" s="4"/>
      <c r="L164" s="25"/>
      <c r="M164" s="4"/>
      <c r="N164" s="5"/>
    </row>
    <row r="165" spans="2:14" x14ac:dyDescent="0.25">
      <c r="B165" s="6">
        <v>161</v>
      </c>
      <c r="C165" s="4" t="s">
        <v>553</v>
      </c>
      <c r="D165" s="5" t="s">
        <v>145</v>
      </c>
      <c r="E165" s="17">
        <v>3150</v>
      </c>
      <c r="F165" s="29" t="s">
        <v>384</v>
      </c>
      <c r="G165" s="4"/>
      <c r="H165" s="25"/>
      <c r="I165" s="4"/>
      <c r="J165" s="25"/>
      <c r="K165" s="4"/>
      <c r="L165" s="25"/>
      <c r="M165" s="4"/>
      <c r="N165" s="5"/>
    </row>
    <row r="166" spans="2:14" x14ac:dyDescent="0.25">
      <c r="B166" s="6">
        <v>162</v>
      </c>
      <c r="C166" s="4" t="s">
        <v>554</v>
      </c>
      <c r="D166" s="5" t="s">
        <v>146</v>
      </c>
      <c r="E166" s="17">
        <v>6000</v>
      </c>
      <c r="F166" s="3"/>
      <c r="G166" s="4"/>
      <c r="H166" s="25"/>
      <c r="I166" s="4"/>
      <c r="J166" s="25"/>
      <c r="K166" s="4"/>
      <c r="L166" s="25"/>
      <c r="M166" s="4"/>
      <c r="N166" s="5"/>
    </row>
    <row r="167" spans="2:14" x14ac:dyDescent="0.25">
      <c r="B167" s="6">
        <v>163</v>
      </c>
      <c r="C167" s="4" t="s">
        <v>555</v>
      </c>
      <c r="D167" s="5" t="s">
        <v>146</v>
      </c>
      <c r="E167" s="17">
        <v>1600</v>
      </c>
      <c r="F167" s="25"/>
      <c r="G167" s="4"/>
      <c r="H167" s="25"/>
      <c r="I167" s="4"/>
      <c r="J167" s="25"/>
      <c r="K167" s="4"/>
      <c r="L167" s="25"/>
      <c r="M167" s="4"/>
      <c r="N167" s="5"/>
    </row>
    <row r="168" spans="2:14" x14ac:dyDescent="0.25">
      <c r="B168" s="6">
        <v>164</v>
      </c>
      <c r="C168" s="4" t="s">
        <v>553</v>
      </c>
      <c r="D168" s="5" t="s">
        <v>147</v>
      </c>
      <c r="E168" s="17">
        <v>3000</v>
      </c>
      <c r="F168" s="25"/>
      <c r="G168" s="4"/>
      <c r="H168" s="25"/>
      <c r="I168" s="4"/>
      <c r="J168" s="25"/>
      <c r="K168" s="4"/>
      <c r="L168" s="25"/>
      <c r="M168" s="4"/>
      <c r="N168" s="5"/>
    </row>
    <row r="169" spans="2:14" x14ac:dyDescent="0.25">
      <c r="B169" s="6">
        <v>165</v>
      </c>
      <c r="C169" s="4" t="s">
        <v>553</v>
      </c>
      <c r="D169" s="5" t="s">
        <v>148</v>
      </c>
      <c r="E169" s="17">
        <v>3000</v>
      </c>
      <c r="F169" s="25"/>
      <c r="G169" s="4"/>
      <c r="H169" s="25"/>
      <c r="I169" s="4"/>
      <c r="J169" s="25"/>
      <c r="K169" s="4"/>
      <c r="L169" s="25"/>
      <c r="M169" s="4"/>
      <c r="N169" s="5"/>
    </row>
    <row r="170" spans="2:14" x14ac:dyDescent="0.25">
      <c r="B170" s="6">
        <v>166</v>
      </c>
      <c r="C170" s="4" t="s">
        <v>556</v>
      </c>
      <c r="D170" s="5" t="s">
        <v>149</v>
      </c>
      <c r="E170" s="17">
        <v>5250</v>
      </c>
      <c r="F170" s="25" t="s">
        <v>352</v>
      </c>
      <c r="G170" s="4"/>
      <c r="H170" s="25"/>
      <c r="I170" s="4"/>
      <c r="J170" s="25"/>
      <c r="K170" s="4"/>
      <c r="L170" s="25"/>
      <c r="M170" s="4"/>
      <c r="N170" s="5"/>
    </row>
    <row r="171" spans="2:14" x14ac:dyDescent="0.25">
      <c r="B171" s="6">
        <v>167</v>
      </c>
      <c r="C171" s="4" t="s">
        <v>557</v>
      </c>
      <c r="D171" s="5" t="s">
        <v>150</v>
      </c>
      <c r="E171" s="17">
        <v>5000</v>
      </c>
      <c r="F171" s="25" t="s">
        <v>352</v>
      </c>
      <c r="G171" s="4"/>
      <c r="H171" s="25"/>
      <c r="I171" s="4"/>
      <c r="J171" s="25"/>
      <c r="K171" s="4"/>
      <c r="L171" s="25"/>
      <c r="M171" s="4"/>
      <c r="N171" s="5"/>
    </row>
    <row r="172" spans="2:14" x14ac:dyDescent="0.25">
      <c r="B172" s="6">
        <v>168</v>
      </c>
      <c r="C172" s="4" t="s">
        <v>558</v>
      </c>
      <c r="D172" s="5" t="s">
        <v>151</v>
      </c>
      <c r="E172" s="17">
        <v>2500</v>
      </c>
      <c r="F172" s="25" t="s">
        <v>352</v>
      </c>
      <c r="G172" s="4"/>
      <c r="H172" s="25"/>
      <c r="I172" s="4"/>
      <c r="J172" s="25"/>
      <c r="K172" s="4"/>
      <c r="L172" s="25"/>
      <c r="M172" s="4"/>
      <c r="N172" s="5"/>
    </row>
    <row r="173" spans="2:14" x14ac:dyDescent="0.25">
      <c r="B173" s="6">
        <v>169</v>
      </c>
      <c r="C173" s="4" t="s">
        <v>559</v>
      </c>
      <c r="D173" s="5" t="s">
        <v>152</v>
      </c>
      <c r="E173" s="17">
        <v>2500</v>
      </c>
      <c r="F173" s="25"/>
      <c r="G173" s="4"/>
      <c r="H173" s="25"/>
      <c r="I173" s="4"/>
      <c r="J173" s="25"/>
      <c r="K173" s="4"/>
      <c r="L173" s="25"/>
      <c r="M173" s="4"/>
      <c r="N173" s="5"/>
    </row>
    <row r="174" spans="2:14" x14ac:dyDescent="0.25">
      <c r="B174" s="6">
        <v>170</v>
      </c>
      <c r="C174" s="4" t="s">
        <v>560</v>
      </c>
      <c r="D174" s="5" t="s">
        <v>153</v>
      </c>
      <c r="E174" s="17">
        <v>5000</v>
      </c>
      <c r="F174" s="25"/>
      <c r="G174" s="4"/>
      <c r="H174" s="25"/>
      <c r="I174" s="4"/>
      <c r="J174" s="25"/>
      <c r="K174" s="4"/>
      <c r="L174" s="25"/>
      <c r="M174" s="4"/>
      <c r="N174" s="5"/>
    </row>
    <row r="175" spans="2:14" x14ac:dyDescent="0.25">
      <c r="B175" s="6">
        <v>171</v>
      </c>
      <c r="C175" s="4" t="s">
        <v>561</v>
      </c>
      <c r="D175" s="5" t="s">
        <v>154</v>
      </c>
      <c r="E175" s="17">
        <v>3150</v>
      </c>
      <c r="F175" s="25"/>
      <c r="G175" s="4"/>
      <c r="H175" s="25"/>
      <c r="I175" s="4"/>
      <c r="J175" s="25"/>
      <c r="K175" s="4"/>
      <c r="L175" s="25"/>
      <c r="M175" s="4"/>
      <c r="N175" s="5"/>
    </row>
    <row r="176" spans="2:14" x14ac:dyDescent="0.25">
      <c r="B176" s="6">
        <v>172</v>
      </c>
      <c r="C176" s="4" t="s">
        <v>562</v>
      </c>
      <c r="D176" s="5" t="s">
        <v>155</v>
      </c>
      <c r="E176" s="17">
        <v>6300</v>
      </c>
      <c r="F176" s="25"/>
      <c r="G176" s="4"/>
      <c r="H176" s="25"/>
      <c r="I176" s="4"/>
      <c r="J176" s="25"/>
      <c r="K176" s="4"/>
      <c r="L176" s="25"/>
      <c r="M176" s="4"/>
      <c r="N176" s="5"/>
    </row>
    <row r="177" spans="2:14" x14ac:dyDescent="0.25">
      <c r="B177" s="6">
        <v>173</v>
      </c>
      <c r="C177" s="4" t="s">
        <v>563</v>
      </c>
      <c r="D177" s="5" t="s">
        <v>156</v>
      </c>
      <c r="E177" s="17">
        <v>5250</v>
      </c>
      <c r="F177" s="25"/>
      <c r="G177" s="4"/>
      <c r="H177" s="25"/>
      <c r="I177" s="4"/>
      <c r="J177" s="25"/>
      <c r="K177" s="4"/>
      <c r="L177" s="25"/>
      <c r="M177" s="4"/>
      <c r="N177" s="5"/>
    </row>
    <row r="178" spans="2:14" x14ac:dyDescent="0.25">
      <c r="B178" s="6">
        <v>174</v>
      </c>
      <c r="C178" s="4" t="s">
        <v>564</v>
      </c>
      <c r="D178" s="5" t="s">
        <v>157</v>
      </c>
      <c r="E178" s="17">
        <v>1250</v>
      </c>
      <c r="F178" s="25"/>
      <c r="G178" s="4"/>
      <c r="H178" s="25"/>
      <c r="I178" s="4"/>
      <c r="J178" s="25"/>
      <c r="K178" s="4"/>
      <c r="L178" s="25"/>
      <c r="M178" s="4"/>
      <c r="N178" s="5"/>
    </row>
    <row r="179" spans="2:14" x14ac:dyDescent="0.25">
      <c r="B179" s="6">
        <v>175</v>
      </c>
      <c r="C179" s="4" t="s">
        <v>565</v>
      </c>
      <c r="D179" s="5" t="s">
        <v>158</v>
      </c>
      <c r="E179" s="17">
        <v>11250</v>
      </c>
      <c r="F179" s="25"/>
      <c r="G179" s="4"/>
      <c r="H179" s="25"/>
      <c r="I179" s="4"/>
      <c r="J179" s="25"/>
      <c r="K179" s="4"/>
      <c r="L179" s="25"/>
      <c r="M179" s="4"/>
      <c r="N179" s="5"/>
    </row>
    <row r="180" spans="2:14" x14ac:dyDescent="0.25">
      <c r="B180" s="6">
        <v>176</v>
      </c>
      <c r="C180" s="4" t="s">
        <v>566</v>
      </c>
      <c r="D180" s="5" t="s">
        <v>159</v>
      </c>
      <c r="E180" s="17">
        <v>22500</v>
      </c>
      <c r="F180" s="25"/>
      <c r="G180" s="4"/>
      <c r="H180" s="25"/>
      <c r="I180" s="4"/>
      <c r="J180" s="25"/>
      <c r="K180" s="4"/>
      <c r="L180" s="25"/>
      <c r="M180" s="4"/>
      <c r="N180" s="5"/>
    </row>
    <row r="181" spans="2:14" x14ac:dyDescent="0.25">
      <c r="B181" s="6">
        <v>177</v>
      </c>
      <c r="C181" s="4" t="s">
        <v>567</v>
      </c>
      <c r="D181" s="5" t="s">
        <v>160</v>
      </c>
      <c r="E181" s="17">
        <v>4725</v>
      </c>
      <c r="F181" s="25"/>
      <c r="G181" s="4"/>
      <c r="H181" s="25"/>
      <c r="I181" s="4"/>
      <c r="J181" s="25"/>
      <c r="K181" s="4"/>
      <c r="L181" s="25"/>
      <c r="M181" s="4"/>
      <c r="N181" s="5"/>
    </row>
    <row r="182" spans="2:14" x14ac:dyDescent="0.25">
      <c r="B182" s="6">
        <v>178</v>
      </c>
      <c r="C182" s="4" t="s">
        <v>568</v>
      </c>
      <c r="D182" s="5" t="s">
        <v>161</v>
      </c>
      <c r="E182" s="17">
        <v>10500</v>
      </c>
      <c r="F182" s="25"/>
      <c r="G182" s="4"/>
      <c r="H182" s="25"/>
      <c r="I182" s="4"/>
      <c r="J182" s="25"/>
      <c r="K182" s="4"/>
      <c r="L182" s="25"/>
      <c r="M182" s="4"/>
      <c r="N182" s="5"/>
    </row>
    <row r="183" spans="2:14" x14ac:dyDescent="0.25">
      <c r="B183" s="6">
        <v>179</v>
      </c>
      <c r="C183" s="4" t="s">
        <v>568</v>
      </c>
      <c r="D183" s="5" t="s">
        <v>161</v>
      </c>
      <c r="E183" s="17">
        <v>10500</v>
      </c>
      <c r="F183" s="25"/>
      <c r="G183" s="4"/>
      <c r="H183" s="25"/>
      <c r="I183" s="4"/>
      <c r="J183" s="25"/>
      <c r="K183" s="4"/>
      <c r="L183" s="25"/>
      <c r="M183" s="4"/>
      <c r="N183" s="5"/>
    </row>
    <row r="184" spans="2:14" x14ac:dyDescent="0.25">
      <c r="B184" s="6">
        <v>180</v>
      </c>
      <c r="C184" s="4" t="s">
        <v>619</v>
      </c>
      <c r="D184" s="5" t="s">
        <v>162</v>
      </c>
      <c r="E184" s="17">
        <v>300000</v>
      </c>
      <c r="F184" s="25"/>
      <c r="G184" s="4"/>
      <c r="H184" s="25"/>
      <c r="I184" s="4"/>
      <c r="J184" s="25"/>
      <c r="K184" s="4"/>
      <c r="L184" s="25"/>
      <c r="M184" s="4"/>
      <c r="N184" s="5"/>
    </row>
    <row r="185" spans="2:14" x14ac:dyDescent="0.25">
      <c r="B185" s="6">
        <v>181</v>
      </c>
      <c r="C185" s="4" t="s">
        <v>618</v>
      </c>
      <c r="D185" s="5" t="s">
        <v>163</v>
      </c>
      <c r="E185" s="17">
        <v>300000</v>
      </c>
      <c r="F185" s="25"/>
      <c r="G185" s="4"/>
      <c r="H185" s="25"/>
      <c r="I185" s="4"/>
      <c r="J185" s="25"/>
      <c r="K185" s="4"/>
      <c r="L185" s="25"/>
      <c r="M185" s="4"/>
      <c r="N185" s="5"/>
    </row>
    <row r="186" spans="2:14" x14ac:dyDescent="0.25">
      <c r="B186" s="6">
        <v>182</v>
      </c>
      <c r="C186" s="4" t="s">
        <v>569</v>
      </c>
      <c r="D186" s="5" t="s">
        <v>164</v>
      </c>
      <c r="E186" s="17">
        <v>7000</v>
      </c>
      <c r="F186" s="25"/>
      <c r="G186" s="17">
        <v>5000</v>
      </c>
      <c r="H186" s="25" t="s">
        <v>385</v>
      </c>
      <c r="I186" s="4"/>
      <c r="J186" s="25"/>
      <c r="K186" s="4"/>
      <c r="L186" s="25"/>
      <c r="M186" s="4"/>
      <c r="N186" s="5"/>
    </row>
    <row r="187" spans="2:14" x14ac:dyDescent="0.25">
      <c r="B187" s="6">
        <v>183</v>
      </c>
      <c r="C187" s="39"/>
      <c r="D187" s="5" t="s">
        <v>165</v>
      </c>
      <c r="E187" s="17">
        <v>5000</v>
      </c>
      <c r="F187" s="25" t="s">
        <v>386</v>
      </c>
      <c r="G187" s="4"/>
      <c r="H187" s="25"/>
      <c r="I187" s="4"/>
      <c r="J187" s="25"/>
      <c r="K187" s="4"/>
      <c r="L187" s="25"/>
      <c r="M187" s="4"/>
      <c r="N187" s="5"/>
    </row>
    <row r="188" spans="2:14" x14ac:dyDescent="0.25">
      <c r="B188" s="6">
        <v>184</v>
      </c>
      <c r="C188" s="39"/>
      <c r="D188" s="5" t="s">
        <v>166</v>
      </c>
      <c r="E188" s="17">
        <v>5175</v>
      </c>
      <c r="F188" s="25"/>
      <c r="G188" s="4"/>
      <c r="H188" s="25"/>
      <c r="I188" s="4"/>
      <c r="J188" s="25"/>
      <c r="K188" s="4"/>
      <c r="L188" s="25"/>
      <c r="M188" s="4"/>
      <c r="N188" s="5"/>
    </row>
    <row r="189" spans="2:14" x14ac:dyDescent="0.25">
      <c r="B189" s="6">
        <v>185</v>
      </c>
      <c r="C189" s="39"/>
      <c r="D189" s="5" t="s">
        <v>167</v>
      </c>
      <c r="E189" s="17">
        <v>5175</v>
      </c>
      <c r="F189" s="25"/>
      <c r="G189" s="4"/>
      <c r="H189" s="25"/>
      <c r="I189" s="4"/>
      <c r="J189" s="25"/>
      <c r="K189" s="4"/>
      <c r="L189" s="25"/>
      <c r="M189" s="4"/>
      <c r="N189" s="5"/>
    </row>
    <row r="190" spans="2:14" x14ac:dyDescent="0.25">
      <c r="B190" s="6">
        <v>186</v>
      </c>
      <c r="C190" s="39" t="s">
        <v>699</v>
      </c>
      <c r="D190" s="5" t="s">
        <v>168</v>
      </c>
      <c r="E190" s="17">
        <v>7000</v>
      </c>
      <c r="F190" s="25"/>
      <c r="G190" s="17">
        <v>5300</v>
      </c>
      <c r="H190" s="25" t="s">
        <v>385</v>
      </c>
      <c r="I190" s="4"/>
      <c r="J190" s="25"/>
      <c r="K190" s="4"/>
      <c r="L190" s="25"/>
      <c r="M190" s="4"/>
      <c r="N190" s="5"/>
    </row>
    <row r="191" spans="2:14" x14ac:dyDescent="0.25">
      <c r="B191" s="6">
        <v>187</v>
      </c>
      <c r="C191" s="4" t="s">
        <v>570</v>
      </c>
      <c r="D191" s="5" t="s">
        <v>169</v>
      </c>
      <c r="E191" s="17">
        <v>9600</v>
      </c>
      <c r="F191" s="25"/>
      <c r="G191" s="4"/>
      <c r="H191" s="25"/>
      <c r="I191" s="4"/>
      <c r="J191" s="25"/>
      <c r="K191" s="4"/>
      <c r="L191" s="25"/>
      <c r="M191" s="4"/>
      <c r="N191" s="5"/>
    </row>
    <row r="192" spans="2:14" x14ac:dyDescent="0.25">
      <c r="B192" s="6">
        <v>188</v>
      </c>
      <c r="C192" s="4" t="s">
        <v>571</v>
      </c>
      <c r="D192" s="5" t="s">
        <v>170</v>
      </c>
      <c r="E192" s="17">
        <v>4800</v>
      </c>
      <c r="F192" s="25"/>
      <c r="G192" s="4"/>
      <c r="H192" s="25"/>
      <c r="I192" s="4"/>
      <c r="J192" s="25"/>
      <c r="K192" s="4"/>
      <c r="L192" s="25"/>
      <c r="M192" s="4"/>
      <c r="N192" s="5"/>
    </row>
    <row r="193" spans="2:14" x14ac:dyDescent="0.25">
      <c r="B193" s="6">
        <v>189</v>
      </c>
      <c r="C193" s="4" t="s">
        <v>572</v>
      </c>
      <c r="D193" s="5" t="s">
        <v>171</v>
      </c>
      <c r="E193" s="17">
        <v>9600</v>
      </c>
      <c r="F193" s="25"/>
      <c r="G193" s="4"/>
      <c r="H193" s="25"/>
      <c r="I193" s="4"/>
      <c r="J193" s="25"/>
      <c r="K193" s="4"/>
      <c r="L193" s="25"/>
      <c r="M193" s="4"/>
      <c r="N193" s="5"/>
    </row>
    <row r="194" spans="2:14" x14ac:dyDescent="0.25">
      <c r="B194" s="6">
        <v>190</v>
      </c>
      <c r="C194" s="4" t="s">
        <v>573</v>
      </c>
      <c r="D194" s="5" t="s">
        <v>172</v>
      </c>
      <c r="E194" s="17">
        <v>24000</v>
      </c>
      <c r="F194" s="25"/>
      <c r="G194" s="4"/>
      <c r="H194" s="25"/>
      <c r="I194" s="4"/>
      <c r="J194" s="25"/>
      <c r="K194" s="4"/>
      <c r="L194" s="25"/>
      <c r="M194" s="4"/>
      <c r="N194" s="5"/>
    </row>
    <row r="195" spans="2:14" x14ac:dyDescent="0.25">
      <c r="B195" s="6">
        <v>191</v>
      </c>
      <c r="C195" s="4" t="s">
        <v>574</v>
      </c>
      <c r="D195" s="5" t="s">
        <v>173</v>
      </c>
      <c r="E195" s="17">
        <v>7200</v>
      </c>
      <c r="F195" s="25"/>
      <c r="G195" s="4"/>
      <c r="H195" s="25"/>
      <c r="I195" s="4"/>
      <c r="J195" s="25"/>
      <c r="K195" s="4"/>
      <c r="L195" s="25"/>
      <c r="M195" s="4"/>
      <c r="N195" s="5"/>
    </row>
    <row r="196" spans="2:14" x14ac:dyDescent="0.25">
      <c r="B196" s="6">
        <v>192</v>
      </c>
      <c r="C196" s="4" t="s">
        <v>575</v>
      </c>
      <c r="D196" s="5" t="s">
        <v>174</v>
      </c>
      <c r="E196" s="17">
        <v>9600</v>
      </c>
      <c r="F196" s="25"/>
      <c r="G196" s="4"/>
      <c r="H196" s="25"/>
      <c r="I196" s="4"/>
      <c r="J196" s="25"/>
      <c r="K196" s="4"/>
      <c r="L196" s="25"/>
      <c r="M196" s="4"/>
      <c r="N196" s="5"/>
    </row>
    <row r="197" spans="2:14" x14ac:dyDescent="0.25">
      <c r="B197" s="6">
        <v>193</v>
      </c>
      <c r="C197" s="4" t="s">
        <v>576</v>
      </c>
      <c r="D197" s="5" t="s">
        <v>175</v>
      </c>
      <c r="E197" s="17">
        <v>4800</v>
      </c>
      <c r="F197" s="25"/>
      <c r="G197" s="4"/>
      <c r="H197" s="25"/>
      <c r="I197" s="4"/>
      <c r="J197" s="25"/>
      <c r="K197" s="4"/>
      <c r="L197" s="25"/>
      <c r="M197" s="4"/>
      <c r="N197" s="5"/>
    </row>
    <row r="198" spans="2:14" x14ac:dyDescent="0.25">
      <c r="B198" s="6">
        <v>194</v>
      </c>
      <c r="C198" s="4" t="s">
        <v>577</v>
      </c>
      <c r="D198" s="5" t="s">
        <v>176</v>
      </c>
      <c r="E198" s="17">
        <v>4800</v>
      </c>
      <c r="F198" s="25"/>
      <c r="G198" s="4"/>
      <c r="H198" s="25"/>
      <c r="I198" s="4"/>
      <c r="J198" s="25"/>
      <c r="K198" s="4"/>
      <c r="L198" s="25"/>
      <c r="M198" s="4"/>
      <c r="N198" s="5"/>
    </row>
    <row r="199" spans="2:14" x14ac:dyDescent="0.25">
      <c r="B199" s="6">
        <v>195</v>
      </c>
      <c r="C199" s="4" t="s">
        <v>578</v>
      </c>
      <c r="D199" s="5" t="s">
        <v>177</v>
      </c>
      <c r="E199" s="17">
        <v>9600</v>
      </c>
      <c r="F199" s="25"/>
      <c r="G199" s="4"/>
      <c r="H199" s="25"/>
      <c r="I199" s="4"/>
      <c r="J199" s="25"/>
      <c r="K199" s="4"/>
      <c r="L199" s="25"/>
      <c r="M199" s="4"/>
      <c r="N199" s="5"/>
    </row>
    <row r="200" spans="2:14" x14ac:dyDescent="0.25">
      <c r="B200" s="6">
        <v>196</v>
      </c>
      <c r="C200" s="4" t="s">
        <v>576</v>
      </c>
      <c r="D200" s="5" t="s">
        <v>178</v>
      </c>
      <c r="E200" s="17">
        <v>4800</v>
      </c>
      <c r="F200" s="25"/>
      <c r="G200" s="4"/>
      <c r="H200" s="25"/>
      <c r="I200" s="4"/>
      <c r="J200" s="25"/>
      <c r="K200" s="4"/>
      <c r="L200" s="25"/>
      <c r="M200" s="4"/>
      <c r="N200" s="5"/>
    </row>
    <row r="201" spans="2:14" x14ac:dyDescent="0.25">
      <c r="B201" s="6">
        <v>197</v>
      </c>
      <c r="C201" s="4" t="s">
        <v>579</v>
      </c>
      <c r="D201" s="5" t="s">
        <v>179</v>
      </c>
      <c r="E201" s="17">
        <v>9600</v>
      </c>
      <c r="F201" s="25"/>
      <c r="G201" s="4"/>
      <c r="H201" s="25"/>
      <c r="I201" s="4"/>
      <c r="J201" s="25"/>
      <c r="K201" s="4"/>
      <c r="L201" s="25"/>
      <c r="M201" s="4"/>
      <c r="N201" s="5"/>
    </row>
    <row r="202" spans="2:14" x14ac:dyDescent="0.25">
      <c r="B202" s="6">
        <v>198</v>
      </c>
      <c r="C202" s="4" t="s">
        <v>580</v>
      </c>
      <c r="D202" s="5" t="s">
        <v>180</v>
      </c>
      <c r="E202" s="17">
        <v>9600</v>
      </c>
      <c r="F202" s="25"/>
      <c r="G202" s="4"/>
      <c r="H202" s="25"/>
      <c r="I202" s="4"/>
      <c r="J202" s="25"/>
      <c r="K202" s="4"/>
      <c r="L202" s="25"/>
      <c r="M202" s="4"/>
      <c r="N202" s="5"/>
    </row>
    <row r="203" spans="2:14" x14ac:dyDescent="0.25">
      <c r="B203" s="6">
        <v>199</v>
      </c>
      <c r="C203" s="4" t="s">
        <v>581</v>
      </c>
      <c r="D203" s="5" t="s">
        <v>181</v>
      </c>
      <c r="E203" s="17">
        <v>4800</v>
      </c>
      <c r="F203" s="25"/>
      <c r="G203" s="4"/>
      <c r="H203" s="25"/>
      <c r="I203" s="4"/>
      <c r="J203" s="25"/>
      <c r="K203" s="4"/>
      <c r="L203" s="25"/>
      <c r="M203" s="4"/>
      <c r="N203" s="5"/>
    </row>
    <row r="204" spans="2:14" x14ac:dyDescent="0.25">
      <c r="B204" s="6">
        <v>200</v>
      </c>
      <c r="C204" s="4" t="s">
        <v>581</v>
      </c>
      <c r="D204" s="5" t="s">
        <v>182</v>
      </c>
      <c r="E204" s="17">
        <v>24000</v>
      </c>
      <c r="F204" s="25"/>
      <c r="G204" s="4"/>
      <c r="H204" s="25"/>
      <c r="I204" s="4"/>
      <c r="J204" s="25"/>
      <c r="K204" s="4"/>
      <c r="L204" s="25"/>
      <c r="M204" s="4"/>
      <c r="N204" s="5"/>
    </row>
    <row r="205" spans="2:14" x14ac:dyDescent="0.25">
      <c r="B205" s="6">
        <v>201</v>
      </c>
      <c r="C205" s="4" t="s">
        <v>582</v>
      </c>
      <c r="D205" s="5" t="s">
        <v>183</v>
      </c>
      <c r="E205" s="17">
        <v>4800</v>
      </c>
      <c r="F205" s="25"/>
      <c r="G205" s="4"/>
      <c r="H205" s="25"/>
      <c r="I205" s="4"/>
      <c r="J205" s="25"/>
      <c r="K205" s="4"/>
      <c r="L205" s="25"/>
      <c r="M205" s="4"/>
      <c r="N205" s="5"/>
    </row>
    <row r="206" spans="2:14" x14ac:dyDescent="0.25">
      <c r="B206" s="6">
        <v>202</v>
      </c>
      <c r="C206" s="4" t="s">
        <v>583</v>
      </c>
      <c r="D206" s="5" t="s">
        <v>184</v>
      </c>
      <c r="E206" s="17">
        <v>9600</v>
      </c>
      <c r="F206" s="25"/>
      <c r="G206" s="4"/>
      <c r="H206" s="25"/>
      <c r="I206" s="4"/>
      <c r="J206" s="25"/>
      <c r="K206" s="4"/>
      <c r="L206" s="25"/>
      <c r="M206" s="4"/>
      <c r="N206" s="5"/>
    </row>
    <row r="207" spans="2:14" x14ac:dyDescent="0.25">
      <c r="B207" s="6">
        <v>203</v>
      </c>
      <c r="C207" s="4" t="s">
        <v>584</v>
      </c>
      <c r="D207" s="5" t="s">
        <v>185</v>
      </c>
      <c r="E207" s="17">
        <v>4800</v>
      </c>
      <c r="F207" s="25"/>
      <c r="G207" s="4"/>
      <c r="H207" s="25"/>
      <c r="I207" s="4"/>
      <c r="J207" s="25"/>
      <c r="K207" s="4"/>
      <c r="L207" s="25"/>
      <c r="M207" s="4"/>
      <c r="N207" s="5"/>
    </row>
    <row r="208" spans="2:14" x14ac:dyDescent="0.25">
      <c r="B208" s="6">
        <v>204</v>
      </c>
      <c r="C208" s="4" t="s">
        <v>585</v>
      </c>
      <c r="D208" s="5" t="s">
        <v>186</v>
      </c>
      <c r="E208" s="17">
        <v>900</v>
      </c>
      <c r="F208" s="25"/>
      <c r="G208" s="4"/>
      <c r="H208" s="25"/>
      <c r="I208" s="4"/>
      <c r="J208" s="25"/>
      <c r="K208" s="4"/>
      <c r="L208" s="25"/>
      <c r="M208" s="4"/>
      <c r="N208" s="5"/>
    </row>
    <row r="209" spans="2:14" x14ac:dyDescent="0.25">
      <c r="B209" s="6">
        <v>205</v>
      </c>
      <c r="C209" s="4" t="s">
        <v>587</v>
      </c>
      <c r="D209" s="5" t="s">
        <v>187</v>
      </c>
      <c r="E209" s="17">
        <v>1800</v>
      </c>
      <c r="F209" s="25"/>
      <c r="G209" s="4"/>
      <c r="H209" s="25"/>
      <c r="I209" s="4"/>
      <c r="J209" s="25"/>
      <c r="K209" s="4"/>
      <c r="L209" s="25"/>
      <c r="M209" s="4"/>
      <c r="N209" s="5"/>
    </row>
    <row r="210" spans="2:14" x14ac:dyDescent="0.25">
      <c r="B210" s="6">
        <v>206</v>
      </c>
      <c r="C210" s="4" t="s">
        <v>586</v>
      </c>
      <c r="D210" s="5" t="s">
        <v>188</v>
      </c>
      <c r="E210" s="17">
        <v>11425</v>
      </c>
      <c r="F210" s="25"/>
      <c r="G210" s="4"/>
      <c r="H210" s="25"/>
      <c r="I210" s="4"/>
      <c r="J210" s="25"/>
      <c r="K210" s="4"/>
      <c r="L210" s="25"/>
      <c r="M210" s="4"/>
      <c r="N210" s="5"/>
    </row>
    <row r="211" spans="2:14" x14ac:dyDescent="0.25">
      <c r="B211" s="6">
        <v>207</v>
      </c>
      <c r="C211" s="4" t="s">
        <v>588</v>
      </c>
      <c r="D211" s="5" t="s">
        <v>189</v>
      </c>
      <c r="E211" s="17">
        <v>1700</v>
      </c>
      <c r="F211" s="25"/>
      <c r="G211" s="4"/>
      <c r="H211" s="25"/>
      <c r="I211" s="4"/>
      <c r="J211" s="25"/>
      <c r="K211" s="4"/>
      <c r="L211" s="25"/>
      <c r="M211" s="4"/>
      <c r="N211" s="5"/>
    </row>
    <row r="212" spans="2:14" x14ac:dyDescent="0.25">
      <c r="B212" s="6">
        <v>208</v>
      </c>
      <c r="C212" s="4" t="s">
        <v>589</v>
      </c>
      <c r="D212" s="11" t="s">
        <v>190</v>
      </c>
      <c r="E212" s="12" t="s">
        <v>191</v>
      </c>
      <c r="F212" s="25"/>
      <c r="G212" s="4"/>
      <c r="H212" s="25"/>
      <c r="I212" s="4"/>
      <c r="J212" s="25"/>
      <c r="K212" s="4"/>
      <c r="L212" s="25"/>
      <c r="M212" s="4"/>
      <c r="N212" s="5"/>
    </row>
    <row r="213" spans="2:14" ht="30" x14ac:dyDescent="0.25">
      <c r="B213" s="6">
        <v>209</v>
      </c>
      <c r="C213" s="6" t="s">
        <v>590</v>
      </c>
      <c r="D213" s="14" t="s">
        <v>192</v>
      </c>
      <c r="E213" s="17">
        <v>19500</v>
      </c>
      <c r="F213" s="25"/>
      <c r="G213" s="4"/>
      <c r="H213" s="25"/>
      <c r="I213" s="4"/>
      <c r="J213" s="25"/>
      <c r="K213" s="4"/>
      <c r="L213" s="25"/>
      <c r="M213" s="4"/>
      <c r="N213" s="5"/>
    </row>
    <row r="214" spans="2:14" ht="30" x14ac:dyDescent="0.25">
      <c r="B214" s="6">
        <v>210</v>
      </c>
      <c r="C214" s="6" t="s">
        <v>421</v>
      </c>
      <c r="D214" s="14" t="s">
        <v>193</v>
      </c>
      <c r="E214" s="15">
        <v>23800</v>
      </c>
      <c r="F214" s="25"/>
      <c r="G214" s="4"/>
      <c r="H214" s="25"/>
      <c r="I214" s="4"/>
      <c r="J214" s="25"/>
      <c r="K214" s="4"/>
      <c r="L214" s="25"/>
      <c r="M214" s="4"/>
      <c r="N214" s="5"/>
    </row>
    <row r="215" spans="2:14" x14ac:dyDescent="0.25">
      <c r="B215" s="6">
        <v>211</v>
      </c>
      <c r="C215" s="4" t="s">
        <v>685</v>
      </c>
      <c r="D215" s="5" t="s">
        <v>194</v>
      </c>
      <c r="E215" s="17">
        <v>49500</v>
      </c>
      <c r="F215" s="25"/>
      <c r="G215" s="4"/>
      <c r="H215" s="25"/>
      <c r="I215" s="4"/>
      <c r="J215" s="25"/>
      <c r="K215" s="4"/>
      <c r="L215" s="25"/>
      <c r="M215" s="4"/>
      <c r="N215" s="5"/>
    </row>
    <row r="216" spans="2:14" x14ac:dyDescent="0.25">
      <c r="B216" s="6">
        <v>212</v>
      </c>
      <c r="C216" s="39"/>
      <c r="D216" s="5" t="s">
        <v>196</v>
      </c>
      <c r="E216" s="17">
        <v>625000</v>
      </c>
      <c r="F216" s="25"/>
      <c r="G216" s="4"/>
      <c r="H216" s="25"/>
      <c r="I216" s="4"/>
      <c r="J216" s="25"/>
      <c r="K216" s="4"/>
      <c r="L216" s="25"/>
      <c r="M216" s="4"/>
      <c r="N216" s="5"/>
    </row>
    <row r="217" spans="2:14" x14ac:dyDescent="0.25">
      <c r="B217" s="6">
        <v>213</v>
      </c>
      <c r="C217" s="39" t="s">
        <v>683</v>
      </c>
      <c r="D217" s="5" t="s">
        <v>195</v>
      </c>
      <c r="E217" s="17">
        <v>450000</v>
      </c>
      <c r="F217" s="25"/>
      <c r="G217" s="4"/>
      <c r="H217" s="25"/>
      <c r="I217" s="4"/>
      <c r="J217" s="25"/>
      <c r="K217" s="4"/>
      <c r="L217" s="25"/>
      <c r="M217" s="4"/>
      <c r="N217" s="5"/>
    </row>
    <row r="218" spans="2:14" x14ac:dyDescent="0.25">
      <c r="B218" s="6">
        <v>214</v>
      </c>
      <c r="C218" s="39" t="s">
        <v>684</v>
      </c>
      <c r="D218" s="5" t="s">
        <v>197</v>
      </c>
      <c r="E218" s="17">
        <v>900000</v>
      </c>
      <c r="F218" s="25"/>
      <c r="G218" s="4"/>
      <c r="H218" s="25"/>
      <c r="I218" s="4"/>
      <c r="J218" s="25"/>
      <c r="K218" s="4"/>
      <c r="L218" s="25"/>
      <c r="M218" s="4"/>
      <c r="N218" s="5"/>
    </row>
    <row r="219" spans="2:14" x14ac:dyDescent="0.25">
      <c r="B219" s="6">
        <v>215</v>
      </c>
      <c r="C219" s="4" t="s">
        <v>591</v>
      </c>
      <c r="D219" s="5" t="s">
        <v>198</v>
      </c>
      <c r="E219" s="17">
        <v>4300</v>
      </c>
      <c r="F219" s="25"/>
      <c r="G219" s="4"/>
      <c r="H219" s="25"/>
      <c r="I219" s="4"/>
      <c r="J219" s="25"/>
      <c r="K219" s="4"/>
      <c r="L219" s="25"/>
      <c r="M219" s="4"/>
      <c r="N219" s="5"/>
    </row>
    <row r="220" spans="2:14" x14ac:dyDescent="0.25">
      <c r="B220" s="6">
        <v>216</v>
      </c>
      <c r="C220" s="4" t="s">
        <v>592</v>
      </c>
      <c r="D220" s="5" t="s">
        <v>199</v>
      </c>
      <c r="E220" s="17">
        <v>1134</v>
      </c>
      <c r="F220" s="25"/>
      <c r="G220" s="4"/>
      <c r="H220" s="25"/>
      <c r="I220" s="4"/>
      <c r="J220" s="25"/>
      <c r="K220" s="4"/>
      <c r="L220" s="25"/>
      <c r="M220" s="4"/>
      <c r="N220" s="5"/>
    </row>
    <row r="221" spans="2:14" x14ac:dyDescent="0.25">
      <c r="B221" s="6">
        <v>217</v>
      </c>
      <c r="C221" s="4" t="s">
        <v>593</v>
      </c>
      <c r="D221" s="5" t="s">
        <v>200</v>
      </c>
      <c r="E221" s="17">
        <v>3528</v>
      </c>
      <c r="F221" s="25"/>
      <c r="G221" s="4"/>
      <c r="H221" s="25"/>
      <c r="I221" s="4"/>
      <c r="J221" s="25"/>
      <c r="K221" s="4"/>
      <c r="L221" s="25"/>
      <c r="M221" s="4"/>
      <c r="N221" s="5"/>
    </row>
    <row r="222" spans="2:14" x14ac:dyDescent="0.25">
      <c r="B222" s="6">
        <v>218</v>
      </c>
      <c r="C222" s="4" t="s">
        <v>594</v>
      </c>
      <c r="D222" s="5" t="s">
        <v>201</v>
      </c>
      <c r="E222" s="17">
        <v>7056</v>
      </c>
      <c r="F222" s="25"/>
      <c r="G222" s="4"/>
      <c r="H222" s="25"/>
      <c r="I222" s="4"/>
      <c r="J222" s="25"/>
      <c r="K222" s="4"/>
      <c r="L222" s="25"/>
      <c r="M222" s="4"/>
      <c r="N222" s="5"/>
    </row>
    <row r="223" spans="2:14" x14ac:dyDescent="0.25">
      <c r="B223" s="6">
        <v>219</v>
      </c>
      <c r="C223" s="4" t="s">
        <v>595</v>
      </c>
      <c r="D223" s="5" t="s">
        <v>202</v>
      </c>
      <c r="E223" s="17">
        <v>2400</v>
      </c>
      <c r="F223" s="25"/>
      <c r="G223" s="4"/>
      <c r="H223" s="25"/>
      <c r="I223" s="4"/>
      <c r="J223" s="25"/>
      <c r="K223" s="4"/>
      <c r="L223" s="25"/>
      <c r="M223" s="4"/>
      <c r="N223" s="5"/>
    </row>
    <row r="224" spans="2:14" x14ac:dyDescent="0.25">
      <c r="B224" s="6">
        <v>220</v>
      </c>
      <c r="C224" s="4" t="s">
        <v>596</v>
      </c>
      <c r="D224" s="5" t="s">
        <v>203</v>
      </c>
      <c r="E224" s="17">
        <v>2200</v>
      </c>
      <c r="F224" s="25" t="s">
        <v>387</v>
      </c>
      <c r="G224" s="4"/>
      <c r="H224" s="25"/>
      <c r="I224" s="4"/>
      <c r="J224" s="25"/>
      <c r="K224" s="4"/>
      <c r="L224" s="25"/>
      <c r="M224" s="4"/>
      <c r="N224" s="5"/>
    </row>
    <row r="225" spans="2:14" x14ac:dyDescent="0.25">
      <c r="B225" s="6">
        <v>221</v>
      </c>
      <c r="C225" s="4" t="s">
        <v>598</v>
      </c>
      <c r="D225" s="5" t="s">
        <v>204</v>
      </c>
      <c r="E225" s="17">
        <v>25000</v>
      </c>
      <c r="F225" s="25"/>
      <c r="G225" s="4"/>
      <c r="H225" s="25"/>
      <c r="I225" s="4"/>
      <c r="J225" s="25"/>
      <c r="K225" s="4"/>
      <c r="L225" s="25"/>
      <c r="M225" s="4"/>
      <c r="N225" s="5"/>
    </row>
    <row r="226" spans="2:14" x14ac:dyDescent="0.25">
      <c r="B226" s="6">
        <v>222</v>
      </c>
      <c r="C226" s="4" t="s">
        <v>597</v>
      </c>
      <c r="D226" s="5" t="s">
        <v>205</v>
      </c>
      <c r="E226" s="17">
        <v>4800</v>
      </c>
      <c r="F226" s="25"/>
      <c r="G226" s="4"/>
      <c r="H226" s="25"/>
      <c r="I226" s="4"/>
      <c r="J226" s="25"/>
      <c r="K226" s="4"/>
      <c r="L226" s="25"/>
      <c r="M226" s="4"/>
      <c r="N226" s="5"/>
    </row>
    <row r="227" spans="2:14" x14ac:dyDescent="0.25">
      <c r="B227" s="6">
        <v>223</v>
      </c>
      <c r="C227" s="4" t="s">
        <v>600</v>
      </c>
      <c r="D227" s="5" t="s">
        <v>206</v>
      </c>
      <c r="E227" s="17">
        <v>5000</v>
      </c>
      <c r="F227" s="25"/>
      <c r="G227" s="4"/>
      <c r="H227" s="25"/>
      <c r="I227" s="4"/>
      <c r="J227" s="25"/>
      <c r="K227" s="4"/>
      <c r="L227" s="25"/>
      <c r="M227" s="4"/>
      <c r="N227" s="5"/>
    </row>
    <row r="228" spans="2:14" x14ac:dyDescent="0.25">
      <c r="B228" s="6">
        <v>224</v>
      </c>
      <c r="C228" s="4" t="s">
        <v>599</v>
      </c>
      <c r="D228" s="5" t="s">
        <v>207</v>
      </c>
      <c r="E228" s="17">
        <v>5000</v>
      </c>
      <c r="F228" s="25"/>
      <c r="G228" s="4"/>
      <c r="H228" s="25"/>
      <c r="I228" s="4"/>
      <c r="J228" s="25"/>
      <c r="K228" s="4"/>
      <c r="L228" s="25"/>
      <c r="M228" s="4"/>
      <c r="N228" s="5"/>
    </row>
    <row r="229" spans="2:14" x14ac:dyDescent="0.25">
      <c r="B229" s="6">
        <v>225</v>
      </c>
      <c r="C229" s="4" t="s">
        <v>601</v>
      </c>
      <c r="D229" s="5" t="s">
        <v>208</v>
      </c>
      <c r="E229" s="17">
        <v>8000</v>
      </c>
      <c r="F229" s="25"/>
      <c r="G229" s="4"/>
      <c r="H229" s="25"/>
      <c r="I229" s="4"/>
      <c r="J229" s="25"/>
      <c r="K229" s="4"/>
      <c r="L229" s="25"/>
      <c r="M229" s="4"/>
      <c r="N229" s="5"/>
    </row>
    <row r="230" spans="2:14" x14ac:dyDescent="0.25">
      <c r="B230" s="6">
        <v>226</v>
      </c>
      <c r="C230" s="4" t="s">
        <v>602</v>
      </c>
      <c r="D230" s="5" t="s">
        <v>209</v>
      </c>
      <c r="E230" s="17">
        <v>3475</v>
      </c>
      <c r="F230" s="25"/>
      <c r="G230" s="4"/>
      <c r="H230" s="25"/>
      <c r="I230" s="4"/>
      <c r="J230" s="25"/>
      <c r="K230" s="4"/>
      <c r="L230" s="25"/>
      <c r="M230" s="4"/>
      <c r="N230" s="5"/>
    </row>
    <row r="231" spans="2:14" x14ac:dyDescent="0.25">
      <c r="B231" s="6">
        <v>227</v>
      </c>
      <c r="C231" s="4" t="s">
        <v>603</v>
      </c>
      <c r="D231" s="5" t="s">
        <v>210</v>
      </c>
      <c r="E231" s="17">
        <v>3800</v>
      </c>
      <c r="F231" s="25"/>
      <c r="G231" s="4"/>
      <c r="H231" s="25"/>
      <c r="I231" s="4"/>
      <c r="J231" s="25"/>
      <c r="K231" s="4"/>
      <c r="L231" s="25"/>
      <c r="M231" s="4"/>
      <c r="N231" s="5"/>
    </row>
    <row r="232" spans="2:14" x14ac:dyDescent="0.25">
      <c r="B232" s="6">
        <v>228</v>
      </c>
      <c r="C232" s="4" t="s">
        <v>604</v>
      </c>
      <c r="D232" s="5" t="s">
        <v>211</v>
      </c>
      <c r="E232" s="17">
        <v>3675</v>
      </c>
      <c r="F232" s="25"/>
      <c r="G232" s="4"/>
      <c r="H232" s="25"/>
      <c r="I232" s="4"/>
      <c r="J232" s="25"/>
      <c r="K232" s="4"/>
      <c r="L232" s="25"/>
      <c r="M232" s="4"/>
      <c r="N232" s="5"/>
    </row>
    <row r="233" spans="2:14" x14ac:dyDescent="0.25">
      <c r="B233" s="6">
        <v>229</v>
      </c>
      <c r="C233" s="4" t="s">
        <v>605</v>
      </c>
      <c r="D233" s="5" t="s">
        <v>212</v>
      </c>
      <c r="E233" s="17">
        <v>3800</v>
      </c>
      <c r="F233" s="25"/>
      <c r="G233" s="4"/>
      <c r="H233" s="25"/>
      <c r="I233" s="4"/>
      <c r="J233" s="25"/>
      <c r="K233" s="4"/>
      <c r="L233" s="25"/>
      <c r="M233" s="4"/>
      <c r="N233" s="5"/>
    </row>
    <row r="234" spans="2:14" x14ac:dyDescent="0.25">
      <c r="B234" s="6">
        <v>230</v>
      </c>
      <c r="C234" s="4" t="s">
        <v>606</v>
      </c>
      <c r="D234" s="5" t="s">
        <v>213</v>
      </c>
      <c r="E234" s="17">
        <v>3800</v>
      </c>
      <c r="F234" s="25"/>
      <c r="G234" s="4"/>
      <c r="H234" s="25"/>
      <c r="I234" s="4"/>
      <c r="J234" s="25"/>
      <c r="K234" s="4"/>
      <c r="L234" s="25"/>
      <c r="M234" s="4"/>
      <c r="N234" s="5"/>
    </row>
    <row r="235" spans="2:14" x14ac:dyDescent="0.25">
      <c r="B235" s="6">
        <v>231</v>
      </c>
      <c r="C235" s="4" t="s">
        <v>607</v>
      </c>
      <c r="D235" s="5" t="s">
        <v>214</v>
      </c>
      <c r="E235" s="17">
        <v>339</v>
      </c>
      <c r="F235" s="25"/>
      <c r="G235" s="4"/>
      <c r="H235" s="25"/>
      <c r="I235" s="4"/>
      <c r="J235" s="25"/>
      <c r="K235" s="4"/>
      <c r="L235" s="25"/>
      <c r="M235" s="4"/>
      <c r="N235" s="5"/>
    </row>
    <row r="236" spans="2:14" x14ac:dyDescent="0.25">
      <c r="B236" s="6">
        <v>232</v>
      </c>
      <c r="C236" s="4" t="s">
        <v>608</v>
      </c>
      <c r="D236" s="5" t="s">
        <v>215</v>
      </c>
      <c r="E236" s="17">
        <v>9000</v>
      </c>
      <c r="F236" s="25"/>
      <c r="G236" s="4"/>
      <c r="H236" s="25"/>
      <c r="I236" s="4"/>
      <c r="J236" s="25"/>
      <c r="K236" s="4"/>
      <c r="L236" s="25"/>
      <c r="M236" s="4"/>
      <c r="N236" s="5"/>
    </row>
    <row r="237" spans="2:14" x14ac:dyDescent="0.25">
      <c r="B237" s="6">
        <v>233</v>
      </c>
      <c r="C237" s="4" t="s">
        <v>609</v>
      </c>
      <c r="D237" s="5" t="s">
        <v>216</v>
      </c>
      <c r="E237" s="17">
        <v>1418</v>
      </c>
      <c r="F237" s="25"/>
      <c r="G237" s="4"/>
      <c r="H237" s="25"/>
      <c r="I237" s="4"/>
      <c r="J237" s="25"/>
      <c r="K237" s="4"/>
      <c r="L237" s="25"/>
      <c r="M237" s="4"/>
      <c r="N237" s="5"/>
    </row>
    <row r="238" spans="2:14" x14ac:dyDescent="0.25">
      <c r="B238" s="6">
        <v>234</v>
      </c>
      <c r="C238" s="4" t="s">
        <v>605</v>
      </c>
      <c r="D238" s="5" t="s">
        <v>217</v>
      </c>
      <c r="E238" s="17">
        <v>1900</v>
      </c>
      <c r="F238" s="25"/>
      <c r="G238" s="4"/>
      <c r="H238" s="25"/>
      <c r="I238" s="4"/>
      <c r="J238" s="25"/>
      <c r="K238" s="4"/>
      <c r="L238" s="25"/>
      <c r="M238" s="4"/>
      <c r="N238" s="5"/>
    </row>
    <row r="239" spans="2:14" x14ac:dyDescent="0.25">
      <c r="B239" s="6">
        <v>235</v>
      </c>
      <c r="C239" s="4" t="s">
        <v>610</v>
      </c>
      <c r="D239" s="5" t="s">
        <v>218</v>
      </c>
      <c r="E239" s="17">
        <v>5400</v>
      </c>
      <c r="F239" s="25"/>
      <c r="G239" s="4"/>
      <c r="H239" s="25"/>
      <c r="I239" s="4"/>
      <c r="J239" s="25"/>
      <c r="K239" s="4"/>
      <c r="L239" s="25"/>
      <c r="M239" s="4"/>
      <c r="N239" s="5"/>
    </row>
    <row r="240" spans="2:14" x14ac:dyDescent="0.25">
      <c r="B240" s="6">
        <v>236</v>
      </c>
      <c r="C240" s="4" t="s">
        <v>611</v>
      </c>
      <c r="D240" s="5" t="s">
        <v>219</v>
      </c>
      <c r="E240" s="17">
        <v>4050</v>
      </c>
      <c r="F240" s="25"/>
      <c r="G240" s="10">
        <v>4300</v>
      </c>
      <c r="H240" s="9" t="s">
        <v>388</v>
      </c>
      <c r="I240" s="4"/>
      <c r="J240" s="25"/>
      <c r="K240" s="4"/>
      <c r="L240" s="25"/>
      <c r="M240" s="4"/>
      <c r="N240" s="5"/>
    </row>
    <row r="241" spans="2:14" x14ac:dyDescent="0.25">
      <c r="B241" s="6">
        <v>237</v>
      </c>
      <c r="C241" s="4" t="s">
        <v>612</v>
      </c>
      <c r="D241" s="5" t="s">
        <v>220</v>
      </c>
      <c r="E241" s="17">
        <v>5475</v>
      </c>
      <c r="F241" s="25"/>
      <c r="G241" s="4"/>
      <c r="H241" s="25"/>
      <c r="I241" s="4"/>
      <c r="J241" s="25"/>
      <c r="K241" s="4"/>
      <c r="L241" s="25"/>
      <c r="M241" s="4"/>
      <c r="N241" s="5"/>
    </row>
    <row r="242" spans="2:14" x14ac:dyDescent="0.25">
      <c r="B242" s="6">
        <v>238</v>
      </c>
      <c r="C242" s="4" t="s">
        <v>612</v>
      </c>
      <c r="D242" s="5" t="s">
        <v>221</v>
      </c>
      <c r="E242" s="17">
        <v>6000</v>
      </c>
      <c r="F242" s="25"/>
      <c r="G242" s="4"/>
      <c r="H242" s="25"/>
      <c r="I242" s="4"/>
      <c r="J242" s="25"/>
      <c r="K242" s="4"/>
      <c r="L242" s="25"/>
      <c r="M242" s="4"/>
      <c r="N242" s="5"/>
    </row>
    <row r="243" spans="2:14" x14ac:dyDescent="0.25">
      <c r="B243" s="6">
        <v>239</v>
      </c>
      <c r="C243" s="39"/>
      <c r="D243" s="5" t="s">
        <v>222</v>
      </c>
      <c r="E243" s="17">
        <v>3818</v>
      </c>
      <c r="F243" s="25"/>
      <c r="G243" s="4"/>
      <c r="H243" s="25"/>
      <c r="I243" s="4"/>
      <c r="J243" s="25"/>
      <c r="K243" s="4"/>
      <c r="L243" s="25"/>
      <c r="M243" s="4"/>
      <c r="N243" s="5"/>
    </row>
    <row r="244" spans="2:14" x14ac:dyDescent="0.25">
      <c r="B244" s="6">
        <v>240</v>
      </c>
      <c r="C244" s="39"/>
      <c r="D244" s="5" t="s">
        <v>223</v>
      </c>
      <c r="E244" s="17">
        <v>1300</v>
      </c>
      <c r="F244" s="25"/>
      <c r="G244" s="4"/>
      <c r="H244" s="25"/>
      <c r="I244" s="4"/>
      <c r="J244" s="25"/>
      <c r="K244" s="4"/>
      <c r="L244" s="25"/>
      <c r="M244" s="4"/>
      <c r="N244" s="5"/>
    </row>
    <row r="245" spans="2:14" x14ac:dyDescent="0.25">
      <c r="B245" s="6">
        <v>241</v>
      </c>
      <c r="C245" s="4" t="s">
        <v>613</v>
      </c>
      <c r="D245" s="5" t="s">
        <v>224</v>
      </c>
      <c r="E245" s="17">
        <v>16200</v>
      </c>
      <c r="F245" s="25"/>
      <c r="G245" s="4"/>
      <c r="H245" s="25"/>
      <c r="I245" s="4"/>
      <c r="J245" s="25"/>
      <c r="K245" s="4"/>
      <c r="L245" s="25"/>
      <c r="M245" s="4"/>
      <c r="N245" s="5"/>
    </row>
    <row r="246" spans="2:14" x14ac:dyDescent="0.25">
      <c r="B246" s="6">
        <v>242</v>
      </c>
      <c r="C246" s="4" t="s">
        <v>614</v>
      </c>
      <c r="D246" s="5" t="s">
        <v>225</v>
      </c>
      <c r="E246" s="17">
        <v>21600</v>
      </c>
      <c r="F246" s="25"/>
      <c r="G246" s="4"/>
      <c r="H246" s="25"/>
      <c r="I246" s="4"/>
      <c r="J246" s="25"/>
      <c r="K246" s="4"/>
      <c r="L246" s="25"/>
      <c r="M246" s="4"/>
      <c r="N246" s="5"/>
    </row>
    <row r="247" spans="2:14" x14ac:dyDescent="0.25">
      <c r="B247" s="6">
        <v>243</v>
      </c>
      <c r="C247" s="4" t="s">
        <v>615</v>
      </c>
      <c r="D247" s="5" t="s">
        <v>226</v>
      </c>
      <c r="E247" s="17">
        <v>19250</v>
      </c>
      <c r="F247" s="25"/>
      <c r="G247" s="4"/>
      <c r="H247" s="25"/>
      <c r="I247" s="4"/>
      <c r="J247" s="25"/>
      <c r="K247" s="4"/>
      <c r="L247" s="25"/>
      <c r="M247" s="4"/>
      <c r="N247" s="5"/>
    </row>
    <row r="248" spans="2:14" x14ac:dyDescent="0.25">
      <c r="B248" s="6">
        <v>244</v>
      </c>
      <c r="C248" s="4" t="s">
        <v>616</v>
      </c>
      <c r="D248" s="5" t="s">
        <v>227</v>
      </c>
      <c r="E248" s="17">
        <v>10800</v>
      </c>
      <c r="F248" s="25"/>
      <c r="G248" s="4"/>
      <c r="H248" s="25"/>
      <c r="I248" s="4"/>
      <c r="J248" s="25"/>
      <c r="K248" s="4"/>
      <c r="L248" s="25"/>
      <c r="M248" s="4"/>
      <c r="N248" s="5"/>
    </row>
    <row r="249" spans="2:14" x14ac:dyDescent="0.25">
      <c r="B249" s="6">
        <v>245</v>
      </c>
      <c r="C249" s="4" t="s">
        <v>617</v>
      </c>
      <c r="D249" s="5" t="s">
        <v>228</v>
      </c>
      <c r="E249" s="17">
        <v>17300</v>
      </c>
      <c r="F249" s="25"/>
      <c r="G249" s="4"/>
      <c r="H249" s="25"/>
      <c r="I249" s="4"/>
      <c r="J249" s="25"/>
      <c r="K249" s="4"/>
      <c r="L249" s="25"/>
      <c r="M249" s="4"/>
      <c r="N249" s="5"/>
    </row>
    <row r="250" spans="2:14" x14ac:dyDescent="0.25">
      <c r="B250" s="6">
        <v>246</v>
      </c>
      <c r="C250" s="4" t="s">
        <v>614</v>
      </c>
      <c r="D250" s="5" t="s">
        <v>229</v>
      </c>
      <c r="E250" s="17">
        <v>12960</v>
      </c>
      <c r="F250" s="25"/>
      <c r="G250" s="4"/>
      <c r="H250" s="25"/>
      <c r="I250" s="4"/>
      <c r="J250" s="25"/>
      <c r="K250" s="4"/>
      <c r="L250" s="25"/>
      <c r="M250" s="4"/>
      <c r="N250" s="5"/>
    </row>
    <row r="251" spans="2:14" x14ac:dyDescent="0.25">
      <c r="B251" s="6">
        <v>247</v>
      </c>
      <c r="C251" s="4" t="s">
        <v>614</v>
      </c>
      <c r="D251" s="5" t="s">
        <v>230</v>
      </c>
      <c r="E251" s="17">
        <v>9000</v>
      </c>
      <c r="F251" s="25"/>
      <c r="G251" s="4"/>
      <c r="H251" s="25"/>
      <c r="I251" s="4"/>
      <c r="J251" s="25"/>
      <c r="K251" s="4"/>
      <c r="L251" s="25"/>
      <c r="M251" s="4"/>
      <c r="N251" s="5"/>
    </row>
    <row r="252" spans="2:14" x14ac:dyDescent="0.25">
      <c r="B252" s="6">
        <v>248</v>
      </c>
      <c r="C252" s="4" t="s">
        <v>614</v>
      </c>
      <c r="D252" s="5" t="s">
        <v>231</v>
      </c>
      <c r="E252" s="17">
        <v>5400</v>
      </c>
      <c r="F252" s="25"/>
      <c r="G252" s="4"/>
      <c r="H252" s="25"/>
      <c r="I252" s="4"/>
      <c r="J252" s="25"/>
      <c r="K252" s="4"/>
      <c r="L252" s="25"/>
      <c r="M252" s="4"/>
      <c r="N252" s="5"/>
    </row>
    <row r="253" spans="2:14" x14ac:dyDescent="0.25">
      <c r="B253" s="6">
        <v>249</v>
      </c>
      <c r="C253" s="4" t="s">
        <v>614</v>
      </c>
      <c r="D253" s="5" t="s">
        <v>232</v>
      </c>
      <c r="E253" s="17">
        <v>6300</v>
      </c>
      <c r="F253" s="25"/>
      <c r="G253" s="4"/>
      <c r="H253" s="25"/>
      <c r="I253" s="4"/>
      <c r="J253" s="25"/>
      <c r="K253" s="4"/>
      <c r="L253" s="25"/>
      <c r="M253" s="4"/>
      <c r="N253" s="5"/>
    </row>
    <row r="254" spans="2:14" x14ac:dyDescent="0.25">
      <c r="B254" s="6">
        <v>250</v>
      </c>
      <c r="C254" s="4" t="s">
        <v>614</v>
      </c>
      <c r="D254" s="5" t="s">
        <v>233</v>
      </c>
      <c r="E254" s="17">
        <v>8100</v>
      </c>
      <c r="F254" s="25"/>
      <c r="G254" s="4"/>
      <c r="H254" s="25"/>
      <c r="I254" s="4"/>
      <c r="J254" s="25"/>
      <c r="K254" s="4"/>
      <c r="L254" s="25"/>
      <c r="M254" s="4"/>
      <c r="N254" s="5"/>
    </row>
    <row r="255" spans="2:14" x14ac:dyDescent="0.25">
      <c r="B255" s="6">
        <v>251</v>
      </c>
      <c r="C255" s="4" t="s">
        <v>614</v>
      </c>
      <c r="D255" s="5" t="s">
        <v>234</v>
      </c>
      <c r="E255" s="17">
        <v>10800</v>
      </c>
      <c r="F255" s="25"/>
      <c r="G255" s="4"/>
      <c r="H255" s="25"/>
      <c r="I255" s="4"/>
      <c r="J255" s="25"/>
      <c r="K255" s="4"/>
      <c r="L255" s="25"/>
      <c r="M255" s="4"/>
      <c r="N255" s="5"/>
    </row>
    <row r="256" spans="2:14" x14ac:dyDescent="0.25">
      <c r="B256" s="6">
        <v>252</v>
      </c>
      <c r="C256" s="4" t="s">
        <v>614</v>
      </c>
      <c r="D256" s="5" t="s">
        <v>235</v>
      </c>
      <c r="E256" s="17">
        <v>13500</v>
      </c>
      <c r="F256" s="25"/>
      <c r="G256" s="4"/>
      <c r="H256" s="25"/>
      <c r="I256" s="4"/>
      <c r="J256" s="25"/>
      <c r="K256" s="4"/>
      <c r="L256" s="25"/>
      <c r="M256" s="4"/>
      <c r="N256" s="5"/>
    </row>
    <row r="257" spans="2:14" x14ac:dyDescent="0.25">
      <c r="B257" s="6">
        <v>253</v>
      </c>
      <c r="C257" s="4" t="s">
        <v>614</v>
      </c>
      <c r="D257" s="5" t="s">
        <v>236</v>
      </c>
      <c r="E257" s="17">
        <v>8100</v>
      </c>
      <c r="F257" s="25"/>
      <c r="G257" s="4"/>
      <c r="H257" s="25"/>
      <c r="I257" s="4"/>
      <c r="J257" s="25"/>
      <c r="K257" s="4"/>
      <c r="L257" s="25"/>
      <c r="M257" s="4"/>
      <c r="N257" s="5"/>
    </row>
    <row r="258" spans="2:14" x14ac:dyDescent="0.25">
      <c r="B258" s="6">
        <v>254</v>
      </c>
      <c r="C258" s="4" t="s">
        <v>614</v>
      </c>
      <c r="D258" s="5" t="s">
        <v>237</v>
      </c>
      <c r="E258" s="17">
        <v>6000</v>
      </c>
      <c r="F258" s="25"/>
      <c r="G258" s="4"/>
      <c r="H258" s="25"/>
      <c r="I258" s="4"/>
      <c r="J258" s="25"/>
      <c r="K258" s="4"/>
      <c r="L258" s="25"/>
      <c r="M258" s="4"/>
      <c r="N258" s="5"/>
    </row>
    <row r="259" spans="2:14" x14ac:dyDescent="0.25">
      <c r="B259" s="6">
        <v>255</v>
      </c>
      <c r="C259" s="4" t="s">
        <v>614</v>
      </c>
      <c r="D259" s="5" t="s">
        <v>238</v>
      </c>
      <c r="E259" s="17">
        <v>30800</v>
      </c>
      <c r="F259" s="25"/>
      <c r="G259" s="4"/>
      <c r="H259" s="25"/>
      <c r="I259" s="4"/>
      <c r="J259" s="25"/>
      <c r="K259" s="4"/>
      <c r="L259" s="25"/>
      <c r="M259" s="4"/>
      <c r="N259" s="5"/>
    </row>
    <row r="260" spans="2:14" x14ac:dyDescent="0.25">
      <c r="B260" s="6">
        <v>256</v>
      </c>
      <c r="C260" s="4" t="s">
        <v>614</v>
      </c>
      <c r="D260" s="5" t="s">
        <v>239</v>
      </c>
      <c r="E260" s="17">
        <v>13500</v>
      </c>
      <c r="F260" s="25"/>
      <c r="G260" s="4"/>
      <c r="H260" s="25"/>
      <c r="I260" s="4"/>
      <c r="J260" s="25"/>
      <c r="K260" s="4"/>
      <c r="L260" s="25"/>
      <c r="M260" s="4"/>
      <c r="N260" s="5"/>
    </row>
    <row r="261" spans="2:14" x14ac:dyDescent="0.25">
      <c r="B261" s="6">
        <v>257</v>
      </c>
      <c r="C261" s="4" t="s">
        <v>614</v>
      </c>
      <c r="D261" s="5" t="s">
        <v>240</v>
      </c>
      <c r="E261" s="17">
        <v>5100</v>
      </c>
      <c r="F261" s="25" t="s">
        <v>389</v>
      </c>
      <c r="G261" s="4"/>
      <c r="H261" s="25"/>
      <c r="I261" s="4"/>
      <c r="J261" s="25"/>
      <c r="K261" s="4"/>
      <c r="L261" s="25"/>
      <c r="M261" s="4"/>
      <c r="N261" s="5"/>
    </row>
    <row r="262" spans="2:14" x14ac:dyDescent="0.25">
      <c r="B262" s="6">
        <v>258</v>
      </c>
      <c r="C262" s="4" t="s">
        <v>614</v>
      </c>
      <c r="D262" s="5" t="s">
        <v>241</v>
      </c>
      <c r="E262" s="17">
        <v>15300</v>
      </c>
      <c r="F262" s="25" t="s">
        <v>389</v>
      </c>
      <c r="G262" s="4"/>
      <c r="H262" s="25"/>
      <c r="I262" s="4"/>
      <c r="J262" s="25"/>
      <c r="K262" s="4"/>
      <c r="L262" s="25"/>
      <c r="M262" s="4"/>
      <c r="N262" s="5"/>
    </row>
    <row r="263" spans="2:14" x14ac:dyDescent="0.25">
      <c r="B263" s="6">
        <v>259</v>
      </c>
      <c r="C263" s="4" t="s">
        <v>614</v>
      </c>
      <c r="D263" s="5" t="s">
        <v>242</v>
      </c>
      <c r="E263" s="17">
        <v>11900</v>
      </c>
      <c r="F263" s="25" t="s">
        <v>389</v>
      </c>
      <c r="G263" s="4"/>
      <c r="H263" s="25"/>
      <c r="I263" s="4"/>
      <c r="J263" s="25"/>
      <c r="K263" s="4"/>
      <c r="L263" s="25"/>
      <c r="M263" s="4"/>
      <c r="N263" s="5"/>
    </row>
    <row r="264" spans="2:14" x14ac:dyDescent="0.25">
      <c r="B264" s="6">
        <v>260</v>
      </c>
      <c r="C264" s="4" t="s">
        <v>621</v>
      </c>
      <c r="D264" s="5" t="s">
        <v>243</v>
      </c>
      <c r="E264" s="17">
        <v>1900</v>
      </c>
      <c r="F264" s="25"/>
      <c r="G264" s="4"/>
      <c r="H264" s="25"/>
      <c r="I264" s="4"/>
      <c r="J264" s="25"/>
      <c r="K264" s="4"/>
      <c r="L264" s="25"/>
      <c r="M264" s="4"/>
      <c r="N264" s="5"/>
    </row>
    <row r="265" spans="2:14" x14ac:dyDescent="0.25">
      <c r="B265" s="6">
        <v>261</v>
      </c>
      <c r="C265" s="4" t="s">
        <v>622</v>
      </c>
      <c r="D265" s="5" t="s">
        <v>244</v>
      </c>
      <c r="E265" s="17">
        <v>4440</v>
      </c>
      <c r="F265" s="25"/>
      <c r="G265" s="4"/>
      <c r="H265" s="25"/>
      <c r="I265" s="4"/>
      <c r="J265" s="25"/>
      <c r="K265" s="4"/>
      <c r="L265" s="25"/>
      <c r="M265" s="4"/>
      <c r="N265" s="5"/>
    </row>
    <row r="266" spans="2:14" x14ac:dyDescent="0.25">
      <c r="B266" s="6">
        <v>262</v>
      </c>
      <c r="C266" s="4" t="s">
        <v>689</v>
      </c>
      <c r="D266" s="5" t="s">
        <v>245</v>
      </c>
      <c r="E266" s="17">
        <v>4600</v>
      </c>
      <c r="F266" s="25"/>
      <c r="G266" s="4"/>
      <c r="H266" s="25"/>
      <c r="I266" s="4"/>
      <c r="J266" s="25"/>
      <c r="K266" s="4"/>
      <c r="L266" s="25"/>
      <c r="M266" s="4"/>
      <c r="N266" s="5"/>
    </row>
    <row r="267" spans="2:14" x14ac:dyDescent="0.25">
      <c r="B267" s="6">
        <v>263</v>
      </c>
      <c r="C267" s="4" t="s">
        <v>690</v>
      </c>
      <c r="D267" s="5" t="s">
        <v>246</v>
      </c>
      <c r="E267" s="17">
        <v>4600</v>
      </c>
      <c r="F267" s="25"/>
      <c r="G267" s="4"/>
      <c r="H267" s="25"/>
      <c r="I267" s="4"/>
      <c r="J267" s="25"/>
      <c r="K267" s="4"/>
      <c r="L267" s="25"/>
      <c r="M267" s="4"/>
      <c r="N267" s="5"/>
    </row>
    <row r="268" spans="2:14" x14ac:dyDescent="0.25">
      <c r="B268" s="6">
        <v>264</v>
      </c>
      <c r="C268" s="4" t="s">
        <v>623</v>
      </c>
      <c r="D268" s="5" t="s">
        <v>247</v>
      </c>
      <c r="E268" s="17">
        <v>6000</v>
      </c>
      <c r="F268" s="25"/>
      <c r="G268" s="4"/>
      <c r="H268" s="25"/>
      <c r="I268" s="4"/>
      <c r="J268" s="25"/>
      <c r="K268" s="4"/>
      <c r="L268" s="25"/>
      <c r="M268" s="4"/>
      <c r="N268" s="5"/>
    </row>
    <row r="269" spans="2:14" x14ac:dyDescent="0.25">
      <c r="B269" s="6">
        <v>265</v>
      </c>
      <c r="C269" s="4" t="s">
        <v>624</v>
      </c>
      <c r="D269" s="5" t="s">
        <v>248</v>
      </c>
      <c r="E269" s="17">
        <v>1300</v>
      </c>
      <c r="F269" s="25"/>
      <c r="G269" s="4"/>
      <c r="H269" s="25"/>
      <c r="I269" s="4"/>
      <c r="J269" s="25"/>
      <c r="K269" s="4"/>
      <c r="L269" s="25"/>
      <c r="M269" s="4"/>
      <c r="N269" s="5"/>
    </row>
    <row r="270" spans="2:14" x14ac:dyDescent="0.25">
      <c r="B270" s="6">
        <v>266</v>
      </c>
      <c r="C270" s="39"/>
      <c r="D270" s="5" t="s">
        <v>249</v>
      </c>
      <c r="E270" s="17">
        <v>2600</v>
      </c>
      <c r="F270" s="25"/>
      <c r="G270" s="4"/>
      <c r="H270" s="25"/>
      <c r="I270" s="4"/>
      <c r="J270" s="25"/>
      <c r="K270" s="4"/>
      <c r="L270" s="25"/>
      <c r="M270" s="4"/>
      <c r="N270" s="5"/>
    </row>
    <row r="271" spans="2:14" x14ac:dyDescent="0.25">
      <c r="B271" s="6">
        <v>267</v>
      </c>
      <c r="C271" s="4" t="s">
        <v>625</v>
      </c>
      <c r="D271" s="5" t="s">
        <v>250</v>
      </c>
      <c r="E271" s="17">
        <v>20500</v>
      </c>
      <c r="F271" s="25"/>
      <c r="G271" s="4"/>
      <c r="H271" s="25"/>
      <c r="I271" s="4"/>
      <c r="J271" s="25"/>
      <c r="K271" s="4"/>
      <c r="L271" s="25"/>
      <c r="M271" s="4"/>
      <c r="N271" s="5"/>
    </row>
    <row r="272" spans="2:14" x14ac:dyDescent="0.25">
      <c r="B272" s="6">
        <v>268</v>
      </c>
      <c r="C272" s="4" t="s">
        <v>626</v>
      </c>
      <c r="D272" s="5" t="s">
        <v>251</v>
      </c>
      <c r="E272" s="17">
        <v>4100</v>
      </c>
      <c r="F272" s="25"/>
      <c r="G272" s="4"/>
      <c r="H272" s="25"/>
      <c r="I272" s="4"/>
      <c r="J272" s="25"/>
      <c r="K272" s="4"/>
      <c r="L272" s="25"/>
      <c r="M272" s="4"/>
      <c r="N272" s="5"/>
    </row>
    <row r="273" spans="2:14" x14ac:dyDescent="0.25">
      <c r="B273" s="6">
        <v>269</v>
      </c>
      <c r="C273" s="4" t="s">
        <v>627</v>
      </c>
      <c r="D273" s="5" t="s">
        <v>252</v>
      </c>
      <c r="E273" s="17">
        <v>1025</v>
      </c>
      <c r="F273" s="25" t="s">
        <v>348</v>
      </c>
      <c r="G273" s="4"/>
      <c r="H273" s="25"/>
      <c r="I273" s="4"/>
      <c r="J273" s="25"/>
      <c r="K273" s="4"/>
      <c r="L273" s="25"/>
      <c r="M273" s="4"/>
      <c r="N273" s="5"/>
    </row>
    <row r="274" spans="2:14" x14ac:dyDescent="0.25">
      <c r="B274" s="6">
        <v>270</v>
      </c>
      <c r="C274" s="4" t="s">
        <v>628</v>
      </c>
      <c r="D274" s="5" t="s">
        <v>253</v>
      </c>
      <c r="E274" s="17">
        <v>15750</v>
      </c>
      <c r="F274" s="25"/>
      <c r="G274" s="4"/>
      <c r="H274" s="25"/>
      <c r="I274" s="4"/>
      <c r="J274" s="25"/>
      <c r="K274" s="4"/>
      <c r="L274" s="25"/>
      <c r="M274" s="4"/>
      <c r="N274" s="5"/>
    </row>
    <row r="275" spans="2:14" x14ac:dyDescent="0.25">
      <c r="B275" s="6">
        <v>271</v>
      </c>
      <c r="C275" s="4" t="s">
        <v>629</v>
      </c>
      <c r="D275" s="5" t="s">
        <v>254</v>
      </c>
      <c r="E275" s="17">
        <v>31500</v>
      </c>
      <c r="F275" s="25"/>
      <c r="G275" s="4"/>
      <c r="H275" s="25"/>
      <c r="I275" s="4"/>
      <c r="J275" s="25"/>
      <c r="K275" s="4"/>
      <c r="L275" s="25"/>
      <c r="M275" s="4"/>
      <c r="N275" s="5"/>
    </row>
    <row r="276" spans="2:14" x14ac:dyDescent="0.25">
      <c r="B276" s="6">
        <v>272</v>
      </c>
      <c r="C276" s="4" t="s">
        <v>630</v>
      </c>
      <c r="D276" s="5" t="s">
        <v>255</v>
      </c>
      <c r="E276" s="17">
        <v>47250</v>
      </c>
      <c r="F276" s="25"/>
      <c r="G276" s="4"/>
      <c r="H276" s="25"/>
      <c r="I276" s="4"/>
      <c r="J276" s="25"/>
      <c r="K276" s="4"/>
      <c r="L276" s="25"/>
      <c r="M276" s="4"/>
      <c r="N276" s="5"/>
    </row>
    <row r="277" spans="2:14" x14ac:dyDescent="0.25">
      <c r="B277" s="6">
        <v>273</v>
      </c>
      <c r="C277" s="4" t="s">
        <v>631</v>
      </c>
      <c r="D277" s="5" t="s">
        <v>256</v>
      </c>
      <c r="E277" s="17">
        <v>63000</v>
      </c>
      <c r="F277" s="25"/>
      <c r="G277" s="4"/>
      <c r="H277" s="25"/>
      <c r="I277" s="4"/>
      <c r="J277" s="25"/>
      <c r="K277" s="4"/>
      <c r="L277" s="25"/>
      <c r="M277" s="4"/>
      <c r="N277" s="5"/>
    </row>
    <row r="278" spans="2:14" x14ac:dyDescent="0.25">
      <c r="B278" s="6">
        <v>274</v>
      </c>
      <c r="C278" s="4" t="s">
        <v>632</v>
      </c>
      <c r="D278" s="5" t="s">
        <v>257</v>
      </c>
      <c r="E278" s="17">
        <v>650000</v>
      </c>
      <c r="F278" s="25"/>
      <c r="G278" s="4"/>
      <c r="H278" s="25"/>
      <c r="I278" s="4"/>
      <c r="J278" s="25"/>
      <c r="K278" s="4"/>
      <c r="L278" s="25"/>
      <c r="M278" s="4"/>
      <c r="N278" s="5"/>
    </row>
    <row r="279" spans="2:14" x14ac:dyDescent="0.25">
      <c r="B279" s="6">
        <v>275</v>
      </c>
      <c r="C279" s="4" t="s">
        <v>633</v>
      </c>
      <c r="D279" s="5" t="s">
        <v>258</v>
      </c>
      <c r="E279" s="17">
        <v>390000</v>
      </c>
      <c r="F279" s="25"/>
      <c r="G279" s="4"/>
      <c r="H279" s="25"/>
      <c r="I279" s="4"/>
      <c r="J279" s="25"/>
      <c r="K279" s="4"/>
      <c r="L279" s="25"/>
      <c r="M279" s="4"/>
      <c r="N279" s="5"/>
    </row>
    <row r="280" spans="2:14" x14ac:dyDescent="0.25">
      <c r="B280" s="6">
        <v>276</v>
      </c>
      <c r="C280" s="4" t="s">
        <v>634</v>
      </c>
      <c r="D280" s="5" t="s">
        <v>259</v>
      </c>
      <c r="E280" s="17">
        <v>7900</v>
      </c>
      <c r="F280" s="25"/>
      <c r="G280" s="4"/>
      <c r="H280" s="25"/>
      <c r="I280" s="4"/>
      <c r="J280" s="25"/>
      <c r="K280" s="4"/>
      <c r="L280" s="25"/>
      <c r="M280" s="4"/>
      <c r="N280" s="5"/>
    </row>
    <row r="281" spans="2:14" ht="30" x14ac:dyDescent="0.25">
      <c r="B281" s="6">
        <v>277</v>
      </c>
      <c r="C281" s="39" t="s">
        <v>682</v>
      </c>
      <c r="D281" s="14" t="s">
        <v>410</v>
      </c>
      <c r="E281" s="17">
        <v>4000</v>
      </c>
      <c r="F281" s="25"/>
      <c r="G281" s="4"/>
      <c r="H281" s="25"/>
      <c r="I281" s="4"/>
      <c r="J281" s="25"/>
      <c r="K281" s="4"/>
      <c r="L281" s="25"/>
      <c r="M281" s="4"/>
      <c r="N281" s="5"/>
    </row>
    <row r="282" spans="2:14" x14ac:dyDescent="0.25">
      <c r="B282" s="6">
        <v>278</v>
      </c>
      <c r="C282" s="4" t="s">
        <v>635</v>
      </c>
      <c r="D282" s="5" t="s">
        <v>260</v>
      </c>
      <c r="E282" s="17">
        <v>1100</v>
      </c>
      <c r="F282" s="25"/>
      <c r="G282" s="4"/>
      <c r="H282" s="25"/>
      <c r="I282" s="4"/>
      <c r="J282" s="25"/>
      <c r="K282" s="4"/>
      <c r="L282" s="25"/>
      <c r="M282" s="4"/>
      <c r="N282" s="5"/>
    </row>
    <row r="283" spans="2:14" x14ac:dyDescent="0.25">
      <c r="B283" s="6">
        <v>279</v>
      </c>
      <c r="C283" s="39" t="s">
        <v>686</v>
      </c>
      <c r="D283" s="5" t="s">
        <v>703</v>
      </c>
      <c r="E283" s="17">
        <v>2000</v>
      </c>
      <c r="F283" s="25"/>
      <c r="G283" s="4"/>
      <c r="H283" s="25"/>
      <c r="I283" s="4"/>
      <c r="J283" s="25"/>
      <c r="K283" s="4"/>
      <c r="L283" s="25"/>
      <c r="M283" s="4"/>
      <c r="N283" s="5"/>
    </row>
    <row r="284" spans="2:14" x14ac:dyDescent="0.25">
      <c r="B284" s="6">
        <v>280</v>
      </c>
      <c r="C284" s="39" t="s">
        <v>682</v>
      </c>
      <c r="D284" s="5" t="s">
        <v>702</v>
      </c>
      <c r="E284" s="17">
        <v>4000</v>
      </c>
      <c r="F284" s="25"/>
      <c r="G284" s="4"/>
      <c r="H284" s="25"/>
      <c r="I284" s="4"/>
      <c r="J284" s="25"/>
      <c r="K284" s="4"/>
      <c r="L284" s="25"/>
      <c r="M284" s="4"/>
      <c r="N284" s="5"/>
    </row>
    <row r="285" spans="2:14" x14ac:dyDescent="0.25">
      <c r="B285" s="6">
        <v>281</v>
      </c>
      <c r="C285" s="39" t="s">
        <v>691</v>
      </c>
      <c r="D285" s="5" t="s">
        <v>261</v>
      </c>
      <c r="E285" s="17">
        <v>8000</v>
      </c>
      <c r="F285" s="25"/>
      <c r="G285" s="4"/>
      <c r="H285" s="25"/>
      <c r="I285" s="4"/>
      <c r="J285" s="25"/>
      <c r="K285" s="4"/>
      <c r="L285" s="25"/>
      <c r="M285" s="4"/>
      <c r="N285" s="5"/>
    </row>
    <row r="286" spans="2:14" x14ac:dyDescent="0.25">
      <c r="B286" s="6">
        <v>282</v>
      </c>
      <c r="C286" s="4" t="s">
        <v>636</v>
      </c>
      <c r="D286" s="5" t="s">
        <v>262</v>
      </c>
      <c r="E286" s="17">
        <v>3150</v>
      </c>
      <c r="F286" s="25"/>
      <c r="G286" s="4"/>
      <c r="H286" s="25"/>
      <c r="I286" s="4"/>
      <c r="J286" s="25"/>
      <c r="K286" s="4"/>
      <c r="L286" s="25"/>
      <c r="M286" s="4"/>
      <c r="N286" s="5"/>
    </row>
    <row r="287" spans="2:14" x14ac:dyDescent="0.25">
      <c r="B287" s="6">
        <v>283</v>
      </c>
      <c r="C287" s="4" t="s">
        <v>637</v>
      </c>
      <c r="D287" s="5" t="s">
        <v>263</v>
      </c>
      <c r="E287" s="17">
        <v>3900</v>
      </c>
      <c r="F287" s="25"/>
      <c r="G287" s="4"/>
      <c r="H287" s="25"/>
      <c r="I287" s="4"/>
      <c r="J287" s="25"/>
      <c r="K287" s="4"/>
      <c r="L287" s="25"/>
      <c r="M287" s="4"/>
      <c r="N287" s="5"/>
    </row>
    <row r="288" spans="2:14" x14ac:dyDescent="0.25">
      <c r="B288" s="6">
        <v>284</v>
      </c>
      <c r="C288" s="39" t="s">
        <v>692</v>
      </c>
      <c r="D288" s="5" t="s">
        <v>264</v>
      </c>
      <c r="E288" s="17">
        <v>3150</v>
      </c>
      <c r="F288" s="25"/>
      <c r="G288" s="4"/>
      <c r="H288" s="25"/>
      <c r="I288" s="4"/>
      <c r="J288" s="25"/>
      <c r="K288" s="4"/>
      <c r="L288" s="25"/>
      <c r="M288" s="4"/>
      <c r="N288" s="5"/>
    </row>
    <row r="289" spans="2:14" x14ac:dyDescent="0.25">
      <c r="B289" s="6">
        <v>285</v>
      </c>
      <c r="C289" s="4" t="s">
        <v>638</v>
      </c>
      <c r="D289" s="5" t="s">
        <v>265</v>
      </c>
      <c r="E289" s="17">
        <v>4050</v>
      </c>
      <c r="F289" s="25"/>
      <c r="G289" s="4"/>
      <c r="H289" s="25"/>
      <c r="I289" s="4"/>
      <c r="J289" s="25"/>
      <c r="K289" s="4"/>
      <c r="L289" s="25"/>
      <c r="M289" s="4"/>
      <c r="N289" s="5"/>
    </row>
    <row r="290" spans="2:14" x14ac:dyDescent="0.25">
      <c r="B290" s="6">
        <v>286</v>
      </c>
      <c r="C290" s="4" t="s">
        <v>623</v>
      </c>
      <c r="D290" s="5" t="s">
        <v>266</v>
      </c>
      <c r="E290" s="17">
        <v>6000</v>
      </c>
      <c r="F290" s="25"/>
      <c r="G290" s="4"/>
      <c r="H290" s="25"/>
      <c r="I290" s="4"/>
      <c r="J290" s="25"/>
      <c r="K290" s="4"/>
      <c r="L290" s="25"/>
      <c r="M290" s="4"/>
      <c r="N290" s="5"/>
    </row>
    <row r="291" spans="2:14" x14ac:dyDescent="0.25">
      <c r="B291" s="6">
        <v>287</v>
      </c>
      <c r="C291" s="13" t="s">
        <v>487</v>
      </c>
      <c r="D291" s="5" t="s">
        <v>267</v>
      </c>
      <c r="E291" s="17">
        <v>12600</v>
      </c>
      <c r="F291" s="25"/>
      <c r="G291" s="4"/>
      <c r="H291" s="25"/>
      <c r="I291" s="4"/>
      <c r="J291" s="25"/>
      <c r="K291" s="4"/>
      <c r="L291" s="25"/>
      <c r="M291" s="4"/>
      <c r="N291" s="5"/>
    </row>
    <row r="292" spans="2:14" x14ac:dyDescent="0.25">
      <c r="B292" s="6">
        <v>288</v>
      </c>
      <c r="C292" s="13" t="s">
        <v>486</v>
      </c>
      <c r="D292" s="5" t="s">
        <v>268</v>
      </c>
      <c r="E292" s="17">
        <v>25200</v>
      </c>
      <c r="F292" s="25"/>
      <c r="G292" s="4"/>
      <c r="H292" s="25"/>
      <c r="I292" s="4"/>
      <c r="J292" s="25"/>
      <c r="K292" s="4"/>
      <c r="L292" s="25"/>
      <c r="M292" s="4"/>
      <c r="N292" s="5"/>
    </row>
    <row r="293" spans="2:14" x14ac:dyDescent="0.25">
      <c r="B293" s="6">
        <v>289</v>
      </c>
      <c r="C293" s="13" t="s">
        <v>489</v>
      </c>
      <c r="D293" s="5" t="s">
        <v>269</v>
      </c>
      <c r="E293" s="17">
        <v>37800</v>
      </c>
      <c r="F293" s="25"/>
      <c r="G293" s="4"/>
      <c r="H293" s="25"/>
      <c r="I293" s="4"/>
      <c r="J293" s="25"/>
      <c r="K293" s="4"/>
      <c r="L293" s="25"/>
      <c r="M293" s="4"/>
      <c r="N293" s="5"/>
    </row>
    <row r="294" spans="2:14" x14ac:dyDescent="0.25">
      <c r="B294" s="6">
        <v>290</v>
      </c>
      <c r="C294" s="13" t="s">
        <v>488</v>
      </c>
      <c r="D294" s="5" t="s">
        <v>270</v>
      </c>
      <c r="E294" s="17">
        <v>50400</v>
      </c>
      <c r="F294" s="25"/>
      <c r="G294" s="4"/>
      <c r="H294" s="25"/>
      <c r="I294" s="4"/>
      <c r="J294" s="25"/>
      <c r="K294" s="4"/>
      <c r="L294" s="25"/>
      <c r="M294" s="4"/>
      <c r="N294" s="5"/>
    </row>
    <row r="295" spans="2:14" x14ac:dyDescent="0.25">
      <c r="B295" s="6">
        <v>291</v>
      </c>
      <c r="C295" s="4" t="s">
        <v>639</v>
      </c>
      <c r="D295" s="5" t="s">
        <v>271</v>
      </c>
      <c r="E295" s="17">
        <v>520000</v>
      </c>
      <c r="F295" s="25"/>
      <c r="G295" s="4"/>
      <c r="H295" s="25"/>
      <c r="I295" s="4"/>
      <c r="J295" s="25"/>
      <c r="K295" s="4"/>
      <c r="L295" s="25"/>
      <c r="M295" s="4"/>
      <c r="N295" s="5"/>
    </row>
    <row r="296" spans="2:14" x14ac:dyDescent="0.25">
      <c r="B296" s="6">
        <v>292</v>
      </c>
      <c r="C296" s="4" t="s">
        <v>640</v>
      </c>
      <c r="D296" s="5" t="s">
        <v>272</v>
      </c>
      <c r="E296" s="17">
        <v>450</v>
      </c>
      <c r="F296" s="25"/>
      <c r="G296" s="4"/>
      <c r="H296" s="25"/>
      <c r="I296" s="4"/>
      <c r="J296" s="25"/>
      <c r="K296" s="4"/>
      <c r="L296" s="25"/>
      <c r="M296" s="4"/>
      <c r="N296" s="5"/>
    </row>
    <row r="297" spans="2:14" x14ac:dyDescent="0.25">
      <c r="B297" s="6">
        <v>293</v>
      </c>
      <c r="C297" s="4" t="s">
        <v>641</v>
      </c>
      <c r="D297" s="5" t="s">
        <v>273</v>
      </c>
      <c r="E297" s="17">
        <v>600</v>
      </c>
      <c r="F297" s="25"/>
      <c r="G297" s="4"/>
      <c r="H297" s="25"/>
      <c r="I297" s="4"/>
      <c r="J297" s="25"/>
      <c r="K297" s="4"/>
      <c r="L297" s="25"/>
      <c r="M297" s="4"/>
      <c r="N297" s="5"/>
    </row>
    <row r="298" spans="2:14" x14ac:dyDescent="0.25">
      <c r="B298" s="6">
        <v>294</v>
      </c>
      <c r="C298" s="4" t="s">
        <v>642</v>
      </c>
      <c r="D298" s="5" t="s">
        <v>274</v>
      </c>
      <c r="E298" s="17">
        <v>2520</v>
      </c>
      <c r="F298" s="25"/>
      <c r="G298" s="4"/>
      <c r="H298" s="25"/>
      <c r="I298" s="4"/>
      <c r="J298" s="25"/>
      <c r="K298" s="4"/>
      <c r="L298" s="25"/>
      <c r="M298" s="4"/>
      <c r="N298" s="5"/>
    </row>
    <row r="299" spans="2:14" x14ac:dyDescent="0.25">
      <c r="B299" s="6">
        <v>295</v>
      </c>
      <c r="C299" s="4" t="s">
        <v>643</v>
      </c>
      <c r="D299" s="5" t="s">
        <v>275</v>
      </c>
      <c r="E299" s="17">
        <v>5040</v>
      </c>
      <c r="F299" s="25"/>
      <c r="G299" s="4"/>
      <c r="H299" s="25"/>
      <c r="I299" s="4"/>
      <c r="J299" s="25"/>
      <c r="K299" s="4"/>
      <c r="L299" s="25"/>
      <c r="M299" s="4"/>
      <c r="N299" s="5"/>
    </row>
    <row r="300" spans="2:14" x14ac:dyDescent="0.25">
      <c r="B300" s="6">
        <v>296</v>
      </c>
      <c r="C300" s="4" t="s">
        <v>644</v>
      </c>
      <c r="D300" s="5" t="s">
        <v>276</v>
      </c>
      <c r="E300" s="17">
        <v>1650</v>
      </c>
      <c r="F300" s="25"/>
      <c r="G300" s="4"/>
      <c r="H300" s="25"/>
      <c r="I300" s="4"/>
      <c r="J300" s="25"/>
      <c r="K300" s="4"/>
      <c r="L300" s="25"/>
      <c r="M300" s="4"/>
      <c r="N300" s="5"/>
    </row>
    <row r="301" spans="2:14" x14ac:dyDescent="0.25">
      <c r="B301" s="6">
        <v>297</v>
      </c>
      <c r="C301" s="4" t="s">
        <v>645</v>
      </c>
      <c r="D301" s="5" t="s">
        <v>277</v>
      </c>
      <c r="E301" s="17">
        <v>5300</v>
      </c>
      <c r="F301" s="25"/>
      <c r="G301" s="4"/>
      <c r="H301" s="25"/>
      <c r="I301" s="4"/>
      <c r="J301" s="25"/>
      <c r="K301" s="4"/>
      <c r="L301" s="25"/>
      <c r="M301" s="4"/>
      <c r="N301" s="5"/>
    </row>
    <row r="302" spans="2:14" x14ac:dyDescent="0.25">
      <c r="B302" s="6">
        <v>298</v>
      </c>
      <c r="C302" s="4" t="s">
        <v>646</v>
      </c>
      <c r="D302" s="5" t="s">
        <v>278</v>
      </c>
      <c r="E302" s="17">
        <v>900</v>
      </c>
      <c r="F302" s="25"/>
      <c r="G302" s="4"/>
      <c r="H302" s="25"/>
      <c r="I302" s="4"/>
      <c r="J302" s="25"/>
      <c r="K302" s="4"/>
      <c r="L302" s="25"/>
      <c r="M302" s="4"/>
      <c r="N302" s="5"/>
    </row>
    <row r="303" spans="2:14" x14ac:dyDescent="0.25">
      <c r="B303" s="6">
        <v>299</v>
      </c>
      <c r="C303" s="4" t="s">
        <v>620</v>
      </c>
      <c r="D303" s="5" t="s">
        <v>279</v>
      </c>
      <c r="E303" s="17">
        <v>5400</v>
      </c>
      <c r="F303" s="25"/>
      <c r="G303" s="4"/>
      <c r="H303" s="25"/>
      <c r="I303" s="4"/>
      <c r="J303" s="25"/>
      <c r="K303" s="4"/>
      <c r="L303" s="25"/>
      <c r="M303" s="4"/>
      <c r="N303" s="5"/>
    </row>
    <row r="304" spans="2:14" x14ac:dyDescent="0.25">
      <c r="B304" s="6">
        <v>300</v>
      </c>
      <c r="C304" s="4" t="s">
        <v>620</v>
      </c>
      <c r="D304" s="5" t="s">
        <v>280</v>
      </c>
      <c r="E304" s="17">
        <v>5400</v>
      </c>
      <c r="F304" s="25" t="s">
        <v>348</v>
      </c>
      <c r="G304" s="4"/>
      <c r="H304" s="25"/>
      <c r="I304" s="4"/>
      <c r="J304" s="25"/>
      <c r="K304" s="4"/>
      <c r="L304" s="25"/>
      <c r="M304" s="4"/>
      <c r="N304" s="5"/>
    </row>
    <row r="305" spans="2:14" x14ac:dyDescent="0.25">
      <c r="B305" s="6">
        <v>301</v>
      </c>
      <c r="C305" s="4" t="s">
        <v>647</v>
      </c>
      <c r="D305" s="5" t="s">
        <v>281</v>
      </c>
      <c r="E305" s="17">
        <v>5400</v>
      </c>
      <c r="F305" s="25"/>
      <c r="G305" s="4"/>
      <c r="H305" s="25"/>
      <c r="I305" s="4"/>
      <c r="J305" s="25"/>
      <c r="K305" s="4"/>
      <c r="L305" s="25"/>
      <c r="M305" s="4"/>
      <c r="N305" s="5"/>
    </row>
    <row r="306" spans="2:14" x14ac:dyDescent="0.25">
      <c r="B306" s="6">
        <v>302</v>
      </c>
      <c r="C306" s="4" t="s">
        <v>648</v>
      </c>
      <c r="D306" s="5" t="s">
        <v>282</v>
      </c>
      <c r="E306" s="17">
        <v>2500</v>
      </c>
      <c r="F306" s="25"/>
      <c r="G306" s="4"/>
      <c r="H306" s="25"/>
      <c r="I306" s="4"/>
      <c r="J306" s="25"/>
      <c r="K306" s="4"/>
      <c r="L306" s="25"/>
      <c r="M306" s="4"/>
      <c r="N306" s="5"/>
    </row>
    <row r="307" spans="2:14" x14ac:dyDescent="0.25">
      <c r="B307" s="6">
        <v>303</v>
      </c>
      <c r="C307" s="4" t="s">
        <v>705</v>
      </c>
      <c r="D307" s="5" t="s">
        <v>283</v>
      </c>
      <c r="E307" s="17">
        <v>465000</v>
      </c>
      <c r="F307" s="25"/>
      <c r="G307" s="4"/>
      <c r="H307" s="25"/>
      <c r="I307" s="4"/>
      <c r="J307" s="25"/>
      <c r="K307" s="4"/>
      <c r="L307" s="25"/>
      <c r="M307" s="4"/>
      <c r="N307" s="5"/>
    </row>
    <row r="308" spans="2:14" x14ac:dyDescent="0.25">
      <c r="B308" s="6">
        <v>304</v>
      </c>
      <c r="C308" s="4" t="s">
        <v>649</v>
      </c>
      <c r="D308" s="5" t="s">
        <v>284</v>
      </c>
      <c r="E308" s="17">
        <v>1250</v>
      </c>
      <c r="F308" s="25"/>
      <c r="G308" s="4"/>
      <c r="H308" s="25"/>
      <c r="I308" s="4"/>
      <c r="J308" s="25"/>
      <c r="K308" s="4"/>
      <c r="L308" s="25"/>
      <c r="M308" s="4"/>
      <c r="N308" s="5"/>
    </row>
    <row r="309" spans="2:14" x14ac:dyDescent="0.25">
      <c r="B309" s="6">
        <v>305</v>
      </c>
      <c r="C309" s="4" t="s">
        <v>653</v>
      </c>
      <c r="D309" s="5" t="s">
        <v>285</v>
      </c>
      <c r="E309" s="17">
        <v>625</v>
      </c>
      <c r="F309" s="25"/>
      <c r="G309" s="4"/>
      <c r="H309" s="25"/>
      <c r="I309" s="4"/>
      <c r="J309" s="25"/>
      <c r="K309" s="4"/>
      <c r="L309" s="25"/>
      <c r="M309" s="4"/>
      <c r="N309" s="5"/>
    </row>
    <row r="310" spans="2:14" x14ac:dyDescent="0.25">
      <c r="B310" s="6">
        <v>306</v>
      </c>
      <c r="C310" s="4" t="s">
        <v>652</v>
      </c>
      <c r="D310" s="5" t="s">
        <v>286</v>
      </c>
      <c r="E310" s="17">
        <v>180000</v>
      </c>
      <c r="F310" s="25"/>
      <c r="G310" s="4"/>
      <c r="H310" s="25"/>
      <c r="I310" s="4"/>
      <c r="J310" s="25"/>
      <c r="K310" s="4"/>
      <c r="L310" s="25"/>
      <c r="M310" s="4"/>
      <c r="N310" s="5"/>
    </row>
    <row r="311" spans="2:14" x14ac:dyDescent="0.25">
      <c r="B311" s="6">
        <v>307</v>
      </c>
      <c r="C311" s="4" t="s">
        <v>651</v>
      </c>
      <c r="D311" s="5" t="s">
        <v>287</v>
      </c>
      <c r="E311" s="17">
        <v>5000</v>
      </c>
      <c r="F311" s="25"/>
      <c r="G311" s="4"/>
      <c r="H311" s="25"/>
      <c r="I311" s="4"/>
      <c r="J311" s="25"/>
      <c r="K311" s="4"/>
      <c r="L311" s="25"/>
      <c r="M311" s="4"/>
      <c r="N311" s="5"/>
    </row>
    <row r="312" spans="2:14" x14ac:dyDescent="0.25">
      <c r="B312" s="6">
        <v>308</v>
      </c>
      <c r="C312" s="4" t="s">
        <v>650</v>
      </c>
      <c r="D312" s="5" t="s">
        <v>285</v>
      </c>
      <c r="E312" s="17">
        <v>1300</v>
      </c>
      <c r="F312" s="25"/>
      <c r="G312" s="4"/>
      <c r="H312" s="25"/>
      <c r="I312" s="4"/>
      <c r="J312" s="25"/>
      <c r="K312" s="4"/>
      <c r="L312" s="25"/>
      <c r="M312" s="4"/>
      <c r="N312" s="5"/>
    </row>
    <row r="313" spans="2:14" x14ac:dyDescent="0.25">
      <c r="B313" s="6">
        <v>309</v>
      </c>
      <c r="C313" s="13" t="s">
        <v>687</v>
      </c>
      <c r="D313" s="5" t="s">
        <v>288</v>
      </c>
      <c r="E313" s="17">
        <v>35800</v>
      </c>
      <c r="F313" s="25"/>
      <c r="G313" s="4"/>
      <c r="H313" s="25"/>
      <c r="I313" s="4"/>
      <c r="J313" s="25"/>
      <c r="K313" s="4"/>
      <c r="L313" s="25"/>
      <c r="M313" s="4"/>
      <c r="N313" s="5"/>
    </row>
    <row r="314" spans="2:14" x14ac:dyDescent="0.25">
      <c r="B314" s="6">
        <v>310</v>
      </c>
      <c r="C314" s="39"/>
      <c r="D314" s="5" t="s">
        <v>289</v>
      </c>
      <c r="E314" s="17">
        <v>295000</v>
      </c>
      <c r="F314" s="25"/>
      <c r="G314" s="4"/>
      <c r="H314" s="25"/>
      <c r="I314" s="4"/>
      <c r="J314" s="25"/>
      <c r="K314" s="4"/>
      <c r="L314" s="25"/>
      <c r="M314" s="4"/>
      <c r="N314" s="5"/>
    </row>
    <row r="315" spans="2:14" x14ac:dyDescent="0.25">
      <c r="B315" s="6">
        <v>311</v>
      </c>
      <c r="C315" s="39"/>
      <c r="D315" s="5" t="s">
        <v>290</v>
      </c>
      <c r="E315" s="17">
        <v>4575</v>
      </c>
      <c r="F315" s="25"/>
      <c r="G315" s="4"/>
      <c r="H315" s="25"/>
      <c r="I315" s="4"/>
      <c r="J315" s="25"/>
      <c r="K315" s="4"/>
      <c r="L315" s="25"/>
      <c r="M315" s="4"/>
      <c r="N315" s="5"/>
    </row>
    <row r="316" spans="2:14" x14ac:dyDescent="0.25">
      <c r="B316" s="6">
        <v>312</v>
      </c>
      <c r="C316" s="39"/>
      <c r="D316" s="5" t="s">
        <v>291</v>
      </c>
      <c r="E316" s="17">
        <v>5400</v>
      </c>
      <c r="F316" s="25"/>
      <c r="G316" s="4"/>
      <c r="H316" s="25"/>
      <c r="I316" s="4"/>
      <c r="J316" s="25"/>
      <c r="K316" s="4"/>
      <c r="L316" s="25"/>
      <c r="M316" s="4"/>
      <c r="N316" s="5"/>
    </row>
    <row r="317" spans="2:14" x14ac:dyDescent="0.25">
      <c r="B317" s="6">
        <v>313</v>
      </c>
      <c r="C317" s="4" t="s">
        <v>620</v>
      </c>
      <c r="D317" s="5" t="s">
        <v>292</v>
      </c>
      <c r="E317" s="17">
        <v>5400</v>
      </c>
      <c r="F317" s="25" t="s">
        <v>348</v>
      </c>
      <c r="G317" s="4"/>
      <c r="H317" s="25"/>
      <c r="I317" s="4"/>
      <c r="J317" s="25"/>
      <c r="K317" s="4"/>
      <c r="L317" s="25"/>
      <c r="M317" s="4"/>
      <c r="N317" s="5"/>
    </row>
    <row r="318" spans="2:14" x14ac:dyDescent="0.25">
      <c r="B318" s="6">
        <v>314</v>
      </c>
      <c r="C318" s="4" t="s">
        <v>654</v>
      </c>
      <c r="D318" s="5" t="s">
        <v>390</v>
      </c>
      <c r="E318" s="17">
        <v>30000</v>
      </c>
      <c r="F318" s="25" t="s">
        <v>363</v>
      </c>
      <c r="G318" s="4"/>
      <c r="H318" s="25"/>
      <c r="I318" s="4"/>
      <c r="J318" s="25"/>
      <c r="K318" s="4"/>
      <c r="L318" s="25"/>
      <c r="M318" s="4"/>
      <c r="N318" s="5"/>
    </row>
    <row r="319" spans="2:14" x14ac:dyDescent="0.25">
      <c r="B319" s="6">
        <v>315</v>
      </c>
      <c r="C319" s="4" t="s">
        <v>655</v>
      </c>
      <c r="D319" s="5" t="s">
        <v>293</v>
      </c>
      <c r="E319" s="17">
        <v>1000</v>
      </c>
      <c r="F319" s="25"/>
      <c r="G319" s="4"/>
      <c r="H319" s="25"/>
      <c r="I319" s="4"/>
      <c r="J319" s="25"/>
      <c r="K319" s="4"/>
      <c r="L319" s="25"/>
      <c r="M319" s="4"/>
      <c r="N319" s="5"/>
    </row>
    <row r="320" spans="2:14" x14ac:dyDescent="0.25">
      <c r="B320" s="6">
        <v>316</v>
      </c>
      <c r="C320" s="4" t="s">
        <v>656</v>
      </c>
      <c r="D320" s="5" t="s">
        <v>294</v>
      </c>
      <c r="E320" s="17">
        <v>2000</v>
      </c>
      <c r="F320" s="25"/>
      <c r="G320" s="4"/>
      <c r="H320" s="25"/>
      <c r="I320" s="4"/>
      <c r="J320" s="25"/>
      <c r="K320" s="4"/>
      <c r="L320" s="25"/>
      <c r="M320" s="4"/>
      <c r="N320" s="5"/>
    </row>
    <row r="321" spans="2:14" x14ac:dyDescent="0.25">
      <c r="B321" s="6">
        <v>317</v>
      </c>
      <c r="C321" s="4" t="s">
        <v>704</v>
      </c>
      <c r="D321" s="5" t="s">
        <v>700</v>
      </c>
      <c r="E321" s="17">
        <v>1000</v>
      </c>
      <c r="F321" s="25" t="s">
        <v>348</v>
      </c>
      <c r="G321" s="4"/>
      <c r="H321" s="25"/>
      <c r="I321" s="4"/>
      <c r="J321" s="25"/>
      <c r="K321" s="4"/>
      <c r="L321" s="25"/>
      <c r="M321" s="4"/>
      <c r="N321" s="5"/>
    </row>
    <row r="322" spans="2:14" x14ac:dyDescent="0.25">
      <c r="B322" s="6">
        <v>318</v>
      </c>
      <c r="C322" s="4" t="s">
        <v>657</v>
      </c>
      <c r="D322" s="5" t="s">
        <v>701</v>
      </c>
      <c r="E322" s="17">
        <v>2000</v>
      </c>
      <c r="F322" s="25" t="s">
        <v>348</v>
      </c>
      <c r="G322" s="4"/>
      <c r="H322" s="25"/>
      <c r="I322" s="4"/>
      <c r="J322" s="25"/>
      <c r="K322" s="4"/>
      <c r="L322" s="25"/>
      <c r="M322" s="4"/>
      <c r="N322" s="5"/>
    </row>
    <row r="323" spans="2:14" ht="30" x14ac:dyDescent="0.25">
      <c r="B323" s="6">
        <v>319</v>
      </c>
      <c r="C323" s="4" t="s">
        <v>658</v>
      </c>
      <c r="D323" s="14" t="s">
        <v>295</v>
      </c>
      <c r="E323" s="17">
        <v>1350</v>
      </c>
      <c r="F323" s="25"/>
      <c r="G323" s="4"/>
      <c r="H323" s="25"/>
      <c r="I323" s="4"/>
      <c r="J323" s="25"/>
      <c r="K323" s="4"/>
      <c r="L323" s="25"/>
      <c r="M323" s="4"/>
      <c r="N323" s="5"/>
    </row>
    <row r="324" spans="2:14" x14ac:dyDescent="0.25">
      <c r="B324" s="6">
        <v>320</v>
      </c>
      <c r="C324" s="4" t="s">
        <v>662</v>
      </c>
      <c r="D324" s="5" t="s">
        <v>296</v>
      </c>
      <c r="E324" s="17">
        <v>3000</v>
      </c>
      <c r="F324" s="25"/>
      <c r="G324" s="4"/>
      <c r="H324" s="25"/>
      <c r="I324" s="4"/>
      <c r="J324" s="25"/>
      <c r="K324" s="4"/>
      <c r="L324" s="25"/>
      <c r="M324" s="4"/>
      <c r="N324" s="5"/>
    </row>
    <row r="325" spans="2:14" x14ac:dyDescent="0.25">
      <c r="B325" s="6">
        <v>321</v>
      </c>
      <c r="C325" s="4" t="s">
        <v>661</v>
      </c>
      <c r="D325" s="5" t="s">
        <v>297</v>
      </c>
      <c r="E325" s="17">
        <v>4700</v>
      </c>
      <c r="F325" s="25"/>
      <c r="G325" s="4"/>
      <c r="H325" s="25"/>
      <c r="I325" s="4"/>
      <c r="J325" s="25"/>
      <c r="K325" s="4"/>
      <c r="L325" s="25"/>
      <c r="M325" s="4"/>
      <c r="N325" s="5"/>
    </row>
    <row r="326" spans="2:14" x14ac:dyDescent="0.25">
      <c r="B326" s="6">
        <v>322</v>
      </c>
      <c r="C326" s="4" t="s">
        <v>659</v>
      </c>
      <c r="D326" s="5" t="s">
        <v>298</v>
      </c>
      <c r="E326" s="17">
        <v>4600</v>
      </c>
      <c r="F326" s="25" t="s">
        <v>391</v>
      </c>
      <c r="G326" s="4"/>
      <c r="H326" s="25"/>
      <c r="I326" s="4"/>
      <c r="J326" s="25"/>
      <c r="K326" s="4"/>
      <c r="L326" s="25"/>
      <c r="M326" s="4"/>
      <c r="N326" s="5"/>
    </row>
    <row r="327" spans="2:14" x14ac:dyDescent="0.25">
      <c r="B327" s="6">
        <v>323</v>
      </c>
      <c r="C327" s="4" t="s">
        <v>663</v>
      </c>
      <c r="D327" s="5" t="s">
        <v>299</v>
      </c>
      <c r="E327" s="17">
        <v>3000</v>
      </c>
      <c r="F327" s="25"/>
      <c r="G327" s="4"/>
      <c r="H327" s="25"/>
      <c r="I327" s="4"/>
      <c r="J327" s="25"/>
      <c r="K327" s="4"/>
      <c r="L327" s="25"/>
      <c r="M327" s="4"/>
      <c r="N327" s="5"/>
    </row>
    <row r="328" spans="2:14" x14ac:dyDescent="0.25">
      <c r="B328" s="6">
        <v>324</v>
      </c>
      <c r="C328" s="4" t="s">
        <v>664</v>
      </c>
      <c r="D328" s="5" t="s">
        <v>300</v>
      </c>
      <c r="E328" s="17">
        <v>4700</v>
      </c>
      <c r="F328" s="25"/>
      <c r="G328" s="4"/>
      <c r="H328" s="25"/>
      <c r="I328" s="4"/>
      <c r="J328" s="25"/>
      <c r="K328" s="4"/>
      <c r="L328" s="25"/>
      <c r="M328" s="4"/>
      <c r="N328" s="5"/>
    </row>
    <row r="329" spans="2:14" x14ac:dyDescent="0.25">
      <c r="B329" s="6">
        <v>325</v>
      </c>
      <c r="C329" s="4" t="s">
        <v>660</v>
      </c>
      <c r="D329" s="5" t="s">
        <v>301</v>
      </c>
      <c r="E329" s="17">
        <v>4600</v>
      </c>
      <c r="F329" s="25" t="s">
        <v>391</v>
      </c>
      <c r="G329" s="4"/>
      <c r="H329" s="25"/>
      <c r="I329" s="4"/>
      <c r="J329" s="25"/>
      <c r="K329" s="4"/>
      <c r="L329" s="25"/>
      <c r="M329" s="4"/>
      <c r="N329" s="5"/>
    </row>
    <row r="330" spans="2:14" x14ac:dyDescent="0.25">
      <c r="B330" s="6">
        <v>326</v>
      </c>
      <c r="C330" s="4" t="s">
        <v>665</v>
      </c>
      <c r="D330" s="5" t="s">
        <v>302</v>
      </c>
      <c r="E330" s="17">
        <v>5085</v>
      </c>
      <c r="F330" s="25"/>
      <c r="G330" s="4"/>
      <c r="H330" s="25"/>
      <c r="I330" s="4"/>
      <c r="J330" s="25"/>
      <c r="K330" s="4"/>
      <c r="L330" s="25"/>
      <c r="M330" s="4"/>
      <c r="N330" s="5"/>
    </row>
    <row r="331" spans="2:14" x14ac:dyDescent="0.25">
      <c r="B331" s="6">
        <v>327</v>
      </c>
      <c r="C331" s="39"/>
      <c r="D331" s="5" t="s">
        <v>304</v>
      </c>
      <c r="E331" s="17">
        <v>3050</v>
      </c>
      <c r="F331" s="25"/>
      <c r="G331" s="4"/>
      <c r="H331" s="25"/>
      <c r="I331" s="4"/>
      <c r="J331" s="25"/>
      <c r="K331" s="4"/>
      <c r="L331" s="25"/>
      <c r="M331" s="4"/>
      <c r="N331" s="5"/>
    </row>
    <row r="332" spans="2:14" x14ac:dyDescent="0.25">
      <c r="B332" s="6">
        <v>328</v>
      </c>
      <c r="C332" s="39"/>
      <c r="D332" s="5" t="s">
        <v>303</v>
      </c>
      <c r="E332" s="17">
        <v>5250</v>
      </c>
      <c r="F332" s="25"/>
      <c r="G332" s="4"/>
      <c r="H332" s="25"/>
      <c r="I332" s="4"/>
      <c r="J332" s="25"/>
      <c r="K332" s="4"/>
      <c r="L332" s="25"/>
      <c r="M332" s="4"/>
      <c r="N332" s="5"/>
    </row>
    <row r="333" spans="2:14" x14ac:dyDescent="0.25">
      <c r="B333" s="6">
        <v>329</v>
      </c>
      <c r="C333" s="39"/>
      <c r="D333" s="5" t="s">
        <v>305</v>
      </c>
      <c r="E333" s="17">
        <v>3050</v>
      </c>
      <c r="F333" s="25"/>
      <c r="G333" s="4"/>
      <c r="H333" s="25"/>
      <c r="I333" s="4"/>
      <c r="J333" s="25"/>
      <c r="K333" s="4"/>
      <c r="L333" s="25"/>
      <c r="M333" s="4"/>
      <c r="N333" s="5"/>
    </row>
    <row r="334" spans="2:14" x14ac:dyDescent="0.25">
      <c r="B334" s="6">
        <v>330</v>
      </c>
      <c r="C334" s="4" t="s">
        <v>666</v>
      </c>
      <c r="D334" s="5" t="s">
        <v>306</v>
      </c>
      <c r="E334" s="15">
        <v>33000</v>
      </c>
      <c r="F334" s="25"/>
      <c r="G334" s="4"/>
      <c r="H334" s="25"/>
      <c r="I334" s="4"/>
      <c r="J334" s="25"/>
      <c r="K334" s="4"/>
      <c r="L334" s="25"/>
      <c r="M334" s="4"/>
      <c r="N334" s="5"/>
    </row>
    <row r="335" spans="2:14" x14ac:dyDescent="0.25">
      <c r="B335" s="6">
        <v>331</v>
      </c>
      <c r="C335" s="4" t="s">
        <v>667</v>
      </c>
      <c r="D335" s="5" t="s">
        <v>307</v>
      </c>
      <c r="E335" s="15">
        <v>35000</v>
      </c>
      <c r="F335" s="25"/>
      <c r="G335" s="4"/>
      <c r="H335" s="25"/>
      <c r="I335" s="4"/>
      <c r="J335" s="25"/>
      <c r="K335" s="4"/>
      <c r="L335" s="25"/>
      <c r="M335" s="4"/>
      <c r="N335" s="5"/>
    </row>
    <row r="336" spans="2:14" x14ac:dyDescent="0.25">
      <c r="B336" s="6">
        <v>332</v>
      </c>
      <c r="C336" s="4" t="s">
        <v>668</v>
      </c>
      <c r="D336" s="5" t="s">
        <v>308</v>
      </c>
      <c r="E336" s="15">
        <v>4054</v>
      </c>
      <c r="F336" s="25" t="s">
        <v>392</v>
      </c>
      <c r="G336" s="4"/>
      <c r="H336" s="25"/>
      <c r="I336" s="4"/>
      <c r="J336" s="25"/>
      <c r="K336" s="4"/>
      <c r="L336" s="25"/>
      <c r="M336" s="4"/>
      <c r="N336" s="5"/>
    </row>
    <row r="337" spans="2:14" x14ac:dyDescent="0.25">
      <c r="B337" s="6">
        <v>333</v>
      </c>
      <c r="C337" s="4" t="s">
        <v>669</v>
      </c>
      <c r="D337" s="5" t="s">
        <v>309</v>
      </c>
      <c r="E337" s="17">
        <v>33000</v>
      </c>
      <c r="F337" s="25"/>
      <c r="G337" s="4"/>
      <c r="H337" s="25"/>
      <c r="I337" s="4"/>
      <c r="J337" s="25"/>
      <c r="K337" s="4"/>
      <c r="L337" s="25"/>
      <c r="M337" s="4"/>
      <c r="N337" s="5"/>
    </row>
    <row r="338" spans="2:14" x14ac:dyDescent="0.25">
      <c r="B338" s="6">
        <v>334</v>
      </c>
      <c r="C338" s="4" t="s">
        <v>670</v>
      </c>
      <c r="D338" s="5" t="s">
        <v>310</v>
      </c>
      <c r="E338" s="17">
        <v>33000</v>
      </c>
      <c r="F338" s="25"/>
      <c r="G338" s="4"/>
      <c r="H338" s="25"/>
      <c r="I338" s="4"/>
      <c r="J338" s="25"/>
      <c r="K338" s="4"/>
      <c r="L338" s="25"/>
      <c r="M338" s="4"/>
      <c r="N338" s="5"/>
    </row>
    <row r="339" spans="2:14" x14ac:dyDescent="0.25">
      <c r="B339" s="6">
        <v>335</v>
      </c>
      <c r="C339" s="4" t="s">
        <v>672</v>
      </c>
      <c r="D339" s="5" t="s">
        <v>311</v>
      </c>
      <c r="E339" s="17">
        <v>1300</v>
      </c>
      <c r="F339" s="25"/>
      <c r="G339" s="4"/>
      <c r="H339" s="25"/>
      <c r="I339" s="4"/>
      <c r="J339" s="25"/>
      <c r="K339" s="4"/>
      <c r="L339" s="25"/>
      <c r="M339" s="4"/>
      <c r="N339" s="5"/>
    </row>
    <row r="340" spans="2:14" x14ac:dyDescent="0.25">
      <c r="B340" s="6">
        <v>336</v>
      </c>
      <c r="C340" s="4" t="s">
        <v>671</v>
      </c>
      <c r="D340" s="5" t="s">
        <v>312</v>
      </c>
      <c r="E340" s="17">
        <v>650</v>
      </c>
      <c r="F340" s="25"/>
      <c r="G340" s="4"/>
      <c r="H340" s="25"/>
      <c r="I340" s="4"/>
      <c r="J340" s="25"/>
      <c r="K340" s="4"/>
      <c r="L340" s="25"/>
      <c r="M340" s="4"/>
      <c r="N340" s="5"/>
    </row>
    <row r="341" spans="2:14" x14ac:dyDescent="0.25">
      <c r="B341" s="6">
        <v>337</v>
      </c>
      <c r="C341" s="4" t="s">
        <v>675</v>
      </c>
      <c r="D341" s="5" t="s">
        <v>313</v>
      </c>
      <c r="E341" s="17">
        <v>5000</v>
      </c>
      <c r="F341" s="25"/>
      <c r="G341" s="4"/>
      <c r="H341" s="25"/>
      <c r="I341" s="4"/>
      <c r="J341" s="25"/>
      <c r="K341" s="4"/>
      <c r="L341" s="25"/>
      <c r="M341" s="4"/>
      <c r="N341" s="5"/>
    </row>
    <row r="342" spans="2:14" x14ac:dyDescent="0.25">
      <c r="B342" s="6">
        <v>338</v>
      </c>
      <c r="C342" s="4" t="s">
        <v>674</v>
      </c>
      <c r="D342" s="5" t="s">
        <v>314</v>
      </c>
      <c r="E342" s="17">
        <v>58000</v>
      </c>
      <c r="F342" s="25"/>
      <c r="G342" s="4"/>
      <c r="H342" s="25"/>
      <c r="I342" s="4"/>
      <c r="J342" s="25"/>
      <c r="K342" s="4"/>
      <c r="L342" s="25"/>
      <c r="M342" s="4"/>
      <c r="N342" s="5"/>
    </row>
    <row r="343" spans="2:14" x14ac:dyDescent="0.25">
      <c r="B343" s="6">
        <v>339</v>
      </c>
      <c r="C343" s="4" t="s">
        <v>673</v>
      </c>
      <c r="D343" s="5" t="s">
        <v>315</v>
      </c>
      <c r="E343" s="17">
        <v>60000</v>
      </c>
      <c r="F343" s="25"/>
      <c r="G343" s="17">
        <v>64000</v>
      </c>
      <c r="H343" s="25" t="s">
        <v>393</v>
      </c>
      <c r="I343" s="4"/>
      <c r="J343" s="25"/>
      <c r="K343" s="4"/>
      <c r="L343" s="25"/>
      <c r="M343" s="4"/>
      <c r="N343" s="5"/>
    </row>
    <row r="344" spans="2:14" ht="30" x14ac:dyDescent="0.25">
      <c r="B344" s="6">
        <v>340</v>
      </c>
      <c r="C344" s="6" t="s">
        <v>673</v>
      </c>
      <c r="D344" s="14" t="s">
        <v>316</v>
      </c>
      <c r="E344" s="17">
        <v>60000</v>
      </c>
      <c r="F344" s="25"/>
      <c r="G344" s="4"/>
      <c r="H344" s="25"/>
      <c r="I344" s="4"/>
      <c r="J344" s="25"/>
      <c r="K344" s="4"/>
      <c r="L344" s="25"/>
      <c r="M344" s="4"/>
      <c r="N344" s="5"/>
    </row>
    <row r="345" spans="2:14" ht="30" x14ac:dyDescent="0.25">
      <c r="B345" s="6">
        <v>341</v>
      </c>
      <c r="C345" s="4" t="s">
        <v>676</v>
      </c>
      <c r="D345" s="14" t="s">
        <v>317</v>
      </c>
      <c r="E345" s="17">
        <v>49500</v>
      </c>
      <c r="F345" s="25"/>
      <c r="G345" s="4"/>
      <c r="H345" s="25"/>
      <c r="I345" s="4"/>
      <c r="J345" s="25"/>
      <c r="K345" s="4"/>
      <c r="L345" s="25"/>
      <c r="M345" s="4"/>
      <c r="N345" s="5"/>
    </row>
    <row r="346" spans="2:14" x14ac:dyDescent="0.25">
      <c r="B346" s="6">
        <v>342</v>
      </c>
      <c r="C346" s="4"/>
      <c r="D346" s="5" t="s">
        <v>318</v>
      </c>
      <c r="E346" s="17">
        <v>3710</v>
      </c>
      <c r="F346" s="25"/>
      <c r="G346" s="4"/>
      <c r="H346" s="25"/>
      <c r="I346" s="4"/>
      <c r="J346" s="25"/>
      <c r="K346" s="4"/>
      <c r="L346" s="25"/>
      <c r="M346" s="4"/>
      <c r="N346" s="5"/>
    </row>
    <row r="347" spans="2:14" x14ac:dyDescent="0.25">
      <c r="B347" s="6">
        <v>343</v>
      </c>
      <c r="C347" s="4"/>
      <c r="D347" s="5" t="s">
        <v>319</v>
      </c>
      <c r="E347" s="17">
        <v>4150</v>
      </c>
      <c r="F347" s="25"/>
      <c r="G347" s="4"/>
      <c r="H347" s="25"/>
      <c r="I347" s="4"/>
      <c r="J347" s="25"/>
      <c r="K347" s="4"/>
      <c r="L347" s="25"/>
      <c r="M347" s="4"/>
      <c r="N347" s="5"/>
    </row>
    <row r="348" spans="2:14" x14ac:dyDescent="0.25">
      <c r="B348" s="6">
        <v>344</v>
      </c>
      <c r="C348" s="4"/>
      <c r="D348" s="5" t="s">
        <v>320</v>
      </c>
      <c r="E348" s="17">
        <v>3550</v>
      </c>
      <c r="F348" s="25"/>
      <c r="G348" s="4"/>
      <c r="H348" s="25"/>
      <c r="I348" s="4"/>
      <c r="J348" s="25"/>
      <c r="K348" s="4"/>
      <c r="L348" s="25"/>
      <c r="M348" s="4"/>
      <c r="N348" s="5"/>
    </row>
    <row r="349" spans="2:14" ht="30" x14ac:dyDescent="0.25">
      <c r="B349" s="6">
        <v>345</v>
      </c>
      <c r="C349" s="4" t="s">
        <v>677</v>
      </c>
      <c r="D349" s="14" t="s">
        <v>321</v>
      </c>
      <c r="E349" s="17">
        <v>3800</v>
      </c>
      <c r="F349" s="25"/>
      <c r="G349" s="4"/>
      <c r="H349" s="25"/>
      <c r="I349" s="4"/>
      <c r="J349" s="25"/>
      <c r="K349" s="4"/>
      <c r="L349" s="25"/>
      <c r="M349" s="4"/>
      <c r="N349" s="5"/>
    </row>
    <row r="350" spans="2:14" x14ac:dyDescent="0.25">
      <c r="B350" s="6">
        <v>346</v>
      </c>
      <c r="C350" s="39"/>
      <c r="D350" s="5" t="s">
        <v>322</v>
      </c>
      <c r="E350" s="17">
        <v>4500</v>
      </c>
      <c r="F350" s="25"/>
      <c r="G350" s="4"/>
      <c r="H350" s="25"/>
      <c r="I350" s="4"/>
      <c r="J350" s="25"/>
      <c r="K350" s="4"/>
      <c r="L350" s="25"/>
      <c r="M350" s="4"/>
      <c r="N350" s="5"/>
    </row>
    <row r="351" spans="2:14" x14ac:dyDescent="0.25">
      <c r="B351" s="6">
        <v>347</v>
      </c>
      <c r="C351" s="39"/>
      <c r="D351" s="5" t="s">
        <v>323</v>
      </c>
      <c r="E351" s="17">
        <v>4000</v>
      </c>
      <c r="F351" s="25"/>
      <c r="G351" s="4"/>
      <c r="H351" s="25"/>
      <c r="I351" s="4"/>
      <c r="J351" s="25"/>
      <c r="K351" s="4"/>
      <c r="L351" s="25"/>
      <c r="M351" s="4"/>
      <c r="N351" s="5"/>
    </row>
    <row r="352" spans="2:14" x14ac:dyDescent="0.25">
      <c r="B352" s="6">
        <v>348</v>
      </c>
      <c r="C352" s="39"/>
      <c r="D352" s="5" t="s">
        <v>324</v>
      </c>
      <c r="E352" s="17">
        <v>4100</v>
      </c>
      <c r="F352" s="25"/>
      <c r="G352" s="4"/>
      <c r="H352" s="25"/>
      <c r="I352" s="4"/>
      <c r="J352" s="25"/>
      <c r="K352" s="4"/>
      <c r="L352" s="25"/>
      <c r="M352" s="4"/>
      <c r="N352" s="5"/>
    </row>
    <row r="353" spans="2:14" x14ac:dyDescent="0.25">
      <c r="B353" s="6">
        <v>349</v>
      </c>
      <c r="C353" s="39"/>
      <c r="D353" s="5" t="s">
        <v>325</v>
      </c>
      <c r="E353" s="17">
        <v>5727</v>
      </c>
      <c r="F353" s="25"/>
      <c r="G353" s="4"/>
      <c r="H353" s="25"/>
      <c r="I353" s="4"/>
      <c r="J353" s="25"/>
      <c r="K353" s="4"/>
      <c r="L353" s="25"/>
      <c r="M353" s="4"/>
      <c r="N353" s="5"/>
    </row>
    <row r="354" spans="2:14" x14ac:dyDescent="0.25">
      <c r="B354" s="6">
        <v>350</v>
      </c>
      <c r="C354" s="39"/>
      <c r="D354" s="5" t="s">
        <v>326</v>
      </c>
      <c r="E354" s="17">
        <v>4700</v>
      </c>
      <c r="F354" s="25"/>
      <c r="G354" s="4"/>
      <c r="H354" s="25"/>
      <c r="I354" s="4"/>
      <c r="J354" s="25"/>
      <c r="K354" s="4"/>
      <c r="L354" s="25"/>
      <c r="M354" s="4"/>
      <c r="N354" s="5"/>
    </row>
    <row r="355" spans="2:14" x14ac:dyDescent="0.25">
      <c r="B355" s="6">
        <v>351</v>
      </c>
      <c r="C355" s="39" t="s">
        <v>688</v>
      </c>
      <c r="D355" s="5" t="s">
        <v>327</v>
      </c>
      <c r="E355" s="17">
        <v>4700</v>
      </c>
      <c r="F355" s="25" t="s">
        <v>394</v>
      </c>
      <c r="G355" s="4"/>
      <c r="H355" s="25"/>
      <c r="I355" s="4"/>
      <c r="J355" s="25"/>
      <c r="K355" s="4"/>
      <c r="L355" s="25"/>
      <c r="M355" s="4"/>
      <c r="N355" s="5"/>
    </row>
    <row r="356" spans="2:14" x14ac:dyDescent="0.25">
      <c r="B356" s="6">
        <v>352</v>
      </c>
      <c r="C356" s="39"/>
      <c r="D356" s="5" t="s">
        <v>328</v>
      </c>
      <c r="E356" s="17">
        <v>4700</v>
      </c>
      <c r="F356" s="25"/>
      <c r="G356" s="4"/>
      <c r="H356" s="25"/>
      <c r="I356" s="4"/>
      <c r="J356" s="25"/>
      <c r="K356" s="4"/>
      <c r="L356" s="25"/>
      <c r="M356" s="4"/>
      <c r="N356" s="5"/>
    </row>
    <row r="357" spans="2:14" x14ac:dyDescent="0.25">
      <c r="B357" s="6">
        <v>353</v>
      </c>
      <c r="C357" s="39"/>
      <c r="D357" s="5" t="s">
        <v>329</v>
      </c>
      <c r="E357" s="17">
        <v>4100</v>
      </c>
      <c r="F357" s="25"/>
      <c r="G357" s="4"/>
      <c r="H357" s="25"/>
      <c r="I357" s="4"/>
      <c r="J357" s="25"/>
      <c r="K357" s="4"/>
      <c r="L357" s="25"/>
      <c r="M357" s="4"/>
      <c r="N357" s="5"/>
    </row>
    <row r="358" spans="2:14" x14ac:dyDescent="0.25">
      <c r="B358" s="6">
        <v>354</v>
      </c>
      <c r="C358" s="39"/>
      <c r="D358" s="5" t="s">
        <v>330</v>
      </c>
      <c r="E358" s="17">
        <v>4050</v>
      </c>
      <c r="F358" s="25"/>
      <c r="G358" s="4"/>
      <c r="H358" s="25"/>
      <c r="I358" s="4"/>
      <c r="J358" s="25"/>
      <c r="K358" s="4"/>
      <c r="L358" s="25"/>
      <c r="M358" s="4"/>
      <c r="N358" s="5"/>
    </row>
    <row r="359" spans="2:14" x14ac:dyDescent="0.25">
      <c r="B359" s="6">
        <v>355</v>
      </c>
      <c r="C359" s="39"/>
      <c r="D359" s="5" t="s">
        <v>331</v>
      </c>
      <c r="E359" s="17">
        <v>5727</v>
      </c>
      <c r="F359" s="25"/>
      <c r="G359" s="4"/>
      <c r="H359" s="25"/>
      <c r="I359" s="4"/>
      <c r="J359" s="25"/>
      <c r="K359" s="4"/>
      <c r="L359" s="25"/>
      <c r="M359" s="4"/>
      <c r="N359" s="5"/>
    </row>
    <row r="360" spans="2:14" x14ac:dyDescent="0.25">
      <c r="B360" s="6">
        <v>356</v>
      </c>
      <c r="C360" s="39"/>
      <c r="D360" s="5" t="s">
        <v>332</v>
      </c>
      <c r="E360" s="17">
        <v>39640</v>
      </c>
      <c r="F360" s="25" t="s">
        <v>350</v>
      </c>
      <c r="G360" s="4"/>
      <c r="H360" s="25"/>
      <c r="I360" s="4"/>
      <c r="J360" s="25"/>
      <c r="K360" s="4"/>
      <c r="L360" s="25"/>
      <c r="M360" s="4"/>
      <c r="N360" s="5"/>
    </row>
    <row r="361" spans="2:14" ht="45" x14ac:dyDescent="0.25">
      <c r="B361" s="6">
        <v>357</v>
      </c>
      <c r="C361" s="4" t="s">
        <v>678</v>
      </c>
      <c r="D361" s="14" t="s">
        <v>333</v>
      </c>
      <c r="E361" s="8">
        <v>14000</v>
      </c>
      <c r="F361" s="25"/>
      <c r="G361" s="4"/>
      <c r="H361" s="25"/>
      <c r="I361" s="4"/>
      <c r="J361" s="25"/>
      <c r="K361" s="4"/>
      <c r="L361" s="25"/>
      <c r="M361" s="4"/>
      <c r="N361" s="5"/>
    </row>
    <row r="362" spans="2:14" x14ac:dyDescent="0.25">
      <c r="B362" s="6">
        <v>358</v>
      </c>
      <c r="C362" s="4" t="s">
        <v>679</v>
      </c>
      <c r="D362" s="5" t="s">
        <v>334</v>
      </c>
      <c r="E362" s="8">
        <v>7500</v>
      </c>
      <c r="F362" s="25"/>
      <c r="G362" s="4"/>
      <c r="H362" s="25"/>
      <c r="I362" s="4"/>
      <c r="J362" s="25"/>
      <c r="K362" s="4"/>
      <c r="L362" s="25"/>
      <c r="M362" s="4"/>
      <c r="N362" s="5"/>
    </row>
    <row r="363" spans="2:14" ht="30" x14ac:dyDescent="0.25">
      <c r="B363" s="6">
        <v>359</v>
      </c>
      <c r="C363" s="4" t="s">
        <v>680</v>
      </c>
      <c r="D363" s="14" t="s">
        <v>335</v>
      </c>
      <c r="E363" s="8">
        <v>12000</v>
      </c>
      <c r="F363" s="25"/>
      <c r="G363" s="40">
        <v>9200</v>
      </c>
      <c r="H363" s="26" t="s">
        <v>395</v>
      </c>
      <c r="I363" s="32">
        <f>ROUND((8000/1.11),0)</f>
        <v>7207</v>
      </c>
      <c r="J363" s="42" t="s">
        <v>396</v>
      </c>
      <c r="K363" s="4"/>
      <c r="L363" s="25"/>
      <c r="M363" s="4"/>
      <c r="N363" s="5"/>
    </row>
    <row r="364" spans="2:14" ht="30" x14ac:dyDescent="0.25">
      <c r="B364" s="6">
        <v>360</v>
      </c>
      <c r="C364" s="4" t="s">
        <v>680</v>
      </c>
      <c r="D364" s="14" t="s">
        <v>336</v>
      </c>
      <c r="E364" s="8">
        <v>8600</v>
      </c>
      <c r="F364" s="25"/>
      <c r="G364" s="41"/>
      <c r="H364" s="25"/>
      <c r="I364" s="4"/>
      <c r="J364" s="3"/>
      <c r="K364" s="4"/>
      <c r="L364" s="25"/>
      <c r="M364" s="4"/>
      <c r="N364" s="5"/>
    </row>
    <row r="365" spans="2:14" x14ac:dyDescent="0.25">
      <c r="B365" s="6">
        <v>361</v>
      </c>
      <c r="C365" s="4" t="s">
        <v>679</v>
      </c>
      <c r="D365" s="5" t="s">
        <v>337</v>
      </c>
      <c r="E365" s="8">
        <v>7500</v>
      </c>
      <c r="F365" s="25"/>
      <c r="G365" s="4"/>
      <c r="H365" s="25"/>
      <c r="I365" s="4"/>
      <c r="J365" s="25"/>
      <c r="K365" s="4"/>
      <c r="L365" s="25"/>
      <c r="M365" s="4"/>
      <c r="N365" s="5"/>
    </row>
    <row r="366" spans="2:14" x14ac:dyDescent="0.25">
      <c r="B366" s="6">
        <v>362</v>
      </c>
      <c r="C366" s="39"/>
      <c r="D366" s="5" t="s">
        <v>338</v>
      </c>
      <c r="E366" s="8">
        <v>6400</v>
      </c>
      <c r="F366" s="25"/>
      <c r="G366" s="4"/>
      <c r="H366" s="25"/>
      <c r="I366" s="4"/>
      <c r="J366" s="25"/>
      <c r="K366" s="4"/>
      <c r="L366" s="25"/>
      <c r="M366" s="4"/>
      <c r="N366" s="5"/>
    </row>
    <row r="367" spans="2:14" x14ac:dyDescent="0.25">
      <c r="B367" s="6">
        <v>363</v>
      </c>
      <c r="C367" s="39"/>
      <c r="D367" s="5" t="s">
        <v>339</v>
      </c>
      <c r="E367" s="8">
        <v>6400</v>
      </c>
      <c r="F367" s="25"/>
      <c r="G367" s="4"/>
      <c r="H367" s="25"/>
      <c r="I367" s="4"/>
      <c r="J367" s="25"/>
      <c r="K367" s="4"/>
      <c r="L367" s="25"/>
      <c r="M367" s="4"/>
      <c r="N367" s="5"/>
    </row>
    <row r="368" spans="2:14" x14ac:dyDescent="0.25">
      <c r="B368" s="6">
        <v>364</v>
      </c>
      <c r="C368" s="39"/>
      <c r="D368" s="5" t="s">
        <v>340</v>
      </c>
      <c r="E368" s="8">
        <v>6400</v>
      </c>
      <c r="F368" s="25"/>
      <c r="G368" s="4"/>
      <c r="H368" s="25"/>
      <c r="I368" s="4"/>
      <c r="J368" s="25"/>
      <c r="K368" s="4"/>
      <c r="L368" s="25"/>
      <c r="M368" s="4"/>
      <c r="N368" s="5"/>
    </row>
    <row r="369" spans="2:14" x14ac:dyDescent="0.25">
      <c r="B369" s="6">
        <v>365</v>
      </c>
      <c r="C369" s="39"/>
      <c r="D369" s="5" t="s">
        <v>341</v>
      </c>
      <c r="E369" s="8">
        <v>6400</v>
      </c>
      <c r="F369" s="25"/>
      <c r="G369" s="4"/>
      <c r="H369" s="25"/>
      <c r="I369" s="4"/>
      <c r="J369" s="25"/>
      <c r="K369" s="4"/>
      <c r="L369" s="25"/>
      <c r="M369" s="4"/>
      <c r="N369" s="5"/>
    </row>
    <row r="370" spans="2:14" x14ac:dyDescent="0.25">
      <c r="B370" s="6">
        <v>366</v>
      </c>
      <c r="C370" s="39"/>
      <c r="D370" s="5" t="s">
        <v>342</v>
      </c>
      <c r="E370" s="8">
        <v>6400</v>
      </c>
      <c r="F370" s="25"/>
      <c r="G370" s="4"/>
      <c r="H370" s="25"/>
      <c r="I370" s="4"/>
      <c r="J370" s="25"/>
      <c r="K370" s="4"/>
      <c r="L370" s="25"/>
      <c r="M370" s="4"/>
      <c r="N370" s="5"/>
    </row>
    <row r="371" spans="2:14" x14ac:dyDescent="0.25">
      <c r="B371" s="6">
        <v>367</v>
      </c>
      <c r="C371" s="39"/>
      <c r="D371" s="5" t="s">
        <v>343</v>
      </c>
      <c r="E371" s="8">
        <v>6400</v>
      </c>
      <c r="F371" s="25"/>
      <c r="G371" s="4"/>
      <c r="H371" s="25"/>
      <c r="I371" s="4"/>
      <c r="J371" s="25"/>
      <c r="K371" s="4"/>
      <c r="L371" s="25"/>
      <c r="M371" s="4"/>
      <c r="N371" s="5"/>
    </row>
    <row r="372" spans="2:14" x14ac:dyDescent="0.25">
      <c r="B372" s="6">
        <v>368</v>
      </c>
      <c r="C372" s="39"/>
      <c r="D372" s="5" t="s">
        <v>344</v>
      </c>
      <c r="E372" s="8">
        <v>24000</v>
      </c>
      <c r="F372" s="25"/>
      <c r="G372" s="4"/>
      <c r="H372" s="25"/>
      <c r="I372" s="4"/>
      <c r="J372" s="25"/>
      <c r="K372" s="4"/>
      <c r="L372" s="25"/>
      <c r="M372" s="4"/>
      <c r="N372" s="5"/>
    </row>
    <row r="373" spans="2:14" x14ac:dyDescent="0.25">
      <c r="B373" s="6">
        <v>369</v>
      </c>
      <c r="C373" s="39"/>
      <c r="D373" s="5" t="s">
        <v>345</v>
      </c>
      <c r="E373" s="8">
        <v>4700</v>
      </c>
      <c r="F373" s="25"/>
      <c r="G373" s="4"/>
      <c r="H373" s="25"/>
      <c r="I373" s="4"/>
      <c r="J373" s="25"/>
      <c r="K373" s="4"/>
      <c r="L373" s="25"/>
      <c r="M373" s="4"/>
      <c r="N373" s="5"/>
    </row>
    <row r="374" spans="2:14" ht="45" x14ac:dyDescent="0.25">
      <c r="B374" s="6">
        <v>370</v>
      </c>
      <c r="C374" s="4" t="s">
        <v>681</v>
      </c>
      <c r="D374" s="14" t="s">
        <v>346</v>
      </c>
      <c r="E374" s="8">
        <v>13000</v>
      </c>
      <c r="F374" s="25"/>
      <c r="G374" s="4"/>
      <c r="H374" s="25"/>
      <c r="I374" s="4"/>
      <c r="J374" s="25"/>
      <c r="K374" s="4"/>
      <c r="L374" s="25"/>
      <c r="M374" s="4"/>
      <c r="N374" s="5"/>
    </row>
    <row r="375" spans="2:14" x14ac:dyDescent="0.25">
      <c r="B375" s="6">
        <v>371</v>
      </c>
      <c r="C375" s="4" t="s">
        <v>542</v>
      </c>
      <c r="D375" s="5" t="s">
        <v>416</v>
      </c>
      <c r="E375" s="15">
        <v>5600</v>
      </c>
      <c r="F375" s="38" t="s">
        <v>417</v>
      </c>
      <c r="G375" s="10"/>
      <c r="H375" s="29"/>
      <c r="I375" s="17"/>
      <c r="J375" s="25"/>
      <c r="K375" s="4"/>
      <c r="L375" s="25"/>
      <c r="M375" s="4"/>
      <c r="N375" s="5"/>
    </row>
    <row r="376" spans="2:14" x14ac:dyDescent="0.25">
      <c r="B376" s="50"/>
      <c r="C376" s="48"/>
      <c r="D376" s="48"/>
      <c r="E376" s="51"/>
      <c r="F376" s="49"/>
      <c r="G376" s="52"/>
      <c r="H376" s="49"/>
      <c r="I376" s="52"/>
      <c r="J376" s="49"/>
      <c r="K376" s="52"/>
      <c r="L376" s="49"/>
      <c r="M376" s="52"/>
      <c r="N376" s="48"/>
    </row>
    <row r="377" spans="2:14" x14ac:dyDescent="0.25">
      <c r="B377" s="50"/>
      <c r="C377" s="48"/>
      <c r="D377" s="48"/>
      <c r="E377" s="51"/>
      <c r="F377" s="49"/>
      <c r="G377" s="52"/>
      <c r="H377" s="49"/>
      <c r="I377" s="52"/>
      <c r="J377" s="49"/>
      <c r="K377" s="52"/>
      <c r="L377" s="49"/>
      <c r="M377" s="52"/>
      <c r="N377" s="48"/>
    </row>
    <row r="378" spans="2:14" x14ac:dyDescent="0.25">
      <c r="B378" s="50"/>
      <c r="C378" s="48"/>
      <c r="D378" s="48"/>
      <c r="E378" s="51"/>
      <c r="F378" s="49"/>
      <c r="G378" s="52"/>
      <c r="H378" s="49"/>
      <c r="I378" s="52"/>
      <c r="J378" s="49"/>
      <c r="K378" s="52"/>
      <c r="L378" s="49"/>
      <c r="M378" s="52"/>
      <c r="N378" s="48"/>
    </row>
    <row r="379" spans="2:14" x14ac:dyDescent="0.25">
      <c r="B379" s="50"/>
      <c r="C379" s="48"/>
      <c r="D379" s="48"/>
      <c r="E379" s="51"/>
      <c r="F379" s="49"/>
      <c r="G379" s="52"/>
      <c r="H379" s="49"/>
      <c r="I379" s="52"/>
      <c r="J379" s="49"/>
      <c r="K379" s="52"/>
      <c r="L379" s="49"/>
      <c r="M379" s="52"/>
      <c r="N379" s="48"/>
    </row>
  </sheetData>
  <autoFilter ref="B3:N375" xr:uid="{9E451F60-8F8C-4A52-AD87-F003C3F82A04}">
    <filterColumn colId="3" showButton="0"/>
    <filterColumn colId="5" showButton="0"/>
    <filterColumn colId="7" showButton="0"/>
    <filterColumn colId="9" showButton="0"/>
    <filterColumn colId="11" showButton="0"/>
  </autoFilter>
  <mergeCells count="8">
    <mergeCell ref="K3:L3"/>
    <mergeCell ref="M3:N3"/>
    <mergeCell ref="B3:B4"/>
    <mergeCell ref="C3:C4"/>
    <mergeCell ref="D3:D4"/>
    <mergeCell ref="E3:F3"/>
    <mergeCell ref="G3:H3"/>
    <mergeCell ref="I3:J3"/>
  </mergeCells>
  <pageMargins left="0.70866141732283472" right="0" top="0.74803149606299213" bottom="0" header="0.31496062992125984" footer="0.31496062992125984"/>
  <pageSetup scale="65" orientation="landscape" horizontalDpi="0" verticalDpi="0" r:id="rId1"/>
  <rowBreaks count="6" manualBreakCount="6">
    <brk id="44" min="1" max="13" man="1"/>
    <brk id="87" min="1" max="13" man="1"/>
    <brk id="138" min="1" max="13" man="1"/>
    <brk id="175" min="1" max="13" man="1"/>
    <brk id="244" min="1" max="13" man="1"/>
    <brk id="294" min="1" max="13" man="1"/>
  </rowBreaks>
  <colBreaks count="1" manualBreakCount="1">
    <brk id="8" min="2" max="374" man="1"/>
  </col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6F947-4A08-4F40-8E86-D656F137F4F2}">
  <sheetPr codeName="Sheet1"/>
  <dimension ref="B1:N434"/>
  <sheetViews>
    <sheetView topLeftCell="E1" workbookViewId="0">
      <pane ySplit="4" topLeftCell="A330" activePane="bottomLeft" state="frozen"/>
      <selection pane="bottomLeft" activeCell="M1" sqref="M1:M1048576"/>
    </sheetView>
  </sheetViews>
  <sheetFormatPr defaultRowHeight="15" x14ac:dyDescent="0.25"/>
  <cols>
    <col min="1" max="1" width="2" style="37" customWidth="1"/>
    <col min="2" max="2" width="5" style="54" customWidth="1"/>
    <col min="3" max="3" width="20.140625" style="54" bestFit="1" customWidth="1"/>
    <col min="4" max="4" width="68.140625" style="111" customWidth="1"/>
    <col min="5" max="5" width="12.5703125" style="112" bestFit="1" customWidth="1"/>
    <col min="6" max="6" width="43.7109375" style="85" bestFit="1" customWidth="1"/>
    <col min="7" max="7" width="12.5703125" style="54" bestFit="1" customWidth="1"/>
    <col min="8" max="8" width="44.5703125" style="85" bestFit="1" customWidth="1"/>
    <col min="9" max="9" width="12.5703125" style="54" bestFit="1" customWidth="1"/>
    <col min="10" max="10" width="43.7109375" style="85" bestFit="1" customWidth="1"/>
    <col min="11" max="11" width="12.5703125" style="54" bestFit="1" customWidth="1"/>
    <col min="12" max="12" width="39.140625" style="85" bestFit="1" customWidth="1"/>
    <col min="13" max="13" width="12.5703125" style="54" bestFit="1" customWidth="1"/>
    <col min="14" max="14" width="26.42578125" style="37" bestFit="1" customWidth="1"/>
    <col min="15" max="16384" width="9.140625" style="37"/>
  </cols>
  <sheetData>
    <row r="1" spans="2:14" ht="15.75" x14ac:dyDescent="0.25">
      <c r="B1" s="55" t="s">
        <v>0</v>
      </c>
      <c r="C1" s="57"/>
      <c r="D1" s="55"/>
      <c r="E1" s="83"/>
      <c r="F1" s="84"/>
      <c r="G1" s="57"/>
      <c r="H1" s="84"/>
      <c r="I1" s="57"/>
      <c r="J1" s="84"/>
    </row>
    <row r="2" spans="2:14" ht="15.75" x14ac:dyDescent="0.25">
      <c r="B2" s="53"/>
      <c r="C2" s="57" t="s">
        <v>730</v>
      </c>
      <c r="D2" s="55"/>
      <c r="E2" s="83"/>
      <c r="F2" s="84"/>
      <c r="G2" s="57"/>
      <c r="H2" s="84"/>
      <c r="I2" s="57"/>
      <c r="J2" s="84"/>
    </row>
    <row r="3" spans="2:14" ht="15.75" customHeight="1" x14ac:dyDescent="0.25">
      <c r="B3" s="120" t="s">
        <v>3</v>
      </c>
      <c r="C3" s="121" t="s">
        <v>397</v>
      </c>
      <c r="D3" s="123" t="s">
        <v>2</v>
      </c>
      <c r="E3" s="126" t="s">
        <v>92</v>
      </c>
      <c r="F3" s="126"/>
      <c r="G3" s="125" t="s">
        <v>353</v>
      </c>
      <c r="H3" s="125"/>
      <c r="I3" s="125" t="s">
        <v>367</v>
      </c>
      <c r="J3" s="125"/>
      <c r="K3" s="125" t="s">
        <v>369</v>
      </c>
      <c r="L3" s="125"/>
      <c r="M3" s="125" t="s">
        <v>372</v>
      </c>
      <c r="N3" s="125"/>
    </row>
    <row r="4" spans="2:14" s="87" customFormat="1" ht="15.75" x14ac:dyDescent="0.25">
      <c r="B4" s="120"/>
      <c r="C4" s="122"/>
      <c r="D4" s="123"/>
      <c r="E4" s="86" t="s">
        <v>1</v>
      </c>
      <c r="F4" s="82" t="s">
        <v>91</v>
      </c>
      <c r="G4" s="86" t="s">
        <v>1</v>
      </c>
      <c r="H4" s="82" t="s">
        <v>91</v>
      </c>
      <c r="I4" s="86" t="s">
        <v>1</v>
      </c>
      <c r="J4" s="82" t="s">
        <v>91</v>
      </c>
      <c r="K4" s="86" t="s">
        <v>1</v>
      </c>
      <c r="L4" s="82" t="s">
        <v>91</v>
      </c>
      <c r="M4" s="86" t="s">
        <v>1</v>
      </c>
      <c r="N4" s="82" t="s">
        <v>91</v>
      </c>
    </row>
    <row r="5" spans="2:14" s="50" customFormat="1" x14ac:dyDescent="0.25">
      <c r="B5" s="76">
        <v>1</v>
      </c>
      <c r="C5" s="76" t="s">
        <v>457</v>
      </c>
      <c r="D5" s="88" t="s">
        <v>4</v>
      </c>
      <c r="E5" s="89">
        <v>7000</v>
      </c>
      <c r="F5" s="90"/>
      <c r="G5" s="76"/>
      <c r="H5" s="90"/>
      <c r="I5" s="43"/>
      <c r="J5" s="91"/>
      <c r="K5" s="43"/>
      <c r="L5" s="91"/>
      <c r="M5" s="43"/>
      <c r="N5" s="92"/>
    </row>
    <row r="6" spans="2:14" s="50" customFormat="1" x14ac:dyDescent="0.25">
      <c r="B6" s="76">
        <v>2</v>
      </c>
      <c r="C6" s="76" t="s">
        <v>498</v>
      </c>
      <c r="D6" s="88" t="s">
        <v>5</v>
      </c>
      <c r="E6" s="89">
        <v>5610</v>
      </c>
      <c r="F6" s="90"/>
      <c r="G6" s="76"/>
      <c r="H6" s="90"/>
      <c r="I6" s="43"/>
      <c r="J6" s="91"/>
      <c r="K6" s="43"/>
      <c r="L6" s="91"/>
      <c r="M6" s="43"/>
      <c r="N6" s="92"/>
    </row>
    <row r="7" spans="2:14" s="50" customFormat="1" x14ac:dyDescent="0.25">
      <c r="B7" s="76">
        <v>3</v>
      </c>
      <c r="C7" s="76" t="s">
        <v>499</v>
      </c>
      <c r="D7" s="88" t="s">
        <v>6</v>
      </c>
      <c r="E7" s="89">
        <v>4544</v>
      </c>
      <c r="F7" s="90"/>
      <c r="G7" s="76"/>
      <c r="H7" s="90"/>
      <c r="I7" s="43"/>
      <c r="J7" s="91"/>
      <c r="K7" s="43"/>
      <c r="L7" s="91"/>
      <c r="M7" s="43"/>
      <c r="N7" s="92"/>
    </row>
    <row r="8" spans="2:14" s="50" customFormat="1" x14ac:dyDescent="0.25">
      <c r="B8" s="76">
        <v>4</v>
      </c>
      <c r="C8" s="76" t="s">
        <v>459</v>
      </c>
      <c r="D8" s="88" t="s">
        <v>7</v>
      </c>
      <c r="E8" s="89">
        <v>5000</v>
      </c>
      <c r="F8" s="90"/>
      <c r="G8" s="76"/>
      <c r="H8" s="90"/>
      <c r="I8" s="43"/>
      <c r="J8" s="91"/>
      <c r="K8" s="43"/>
      <c r="L8" s="91"/>
      <c r="M8" s="43"/>
      <c r="N8" s="92"/>
    </row>
    <row r="9" spans="2:14" s="50" customFormat="1" x14ac:dyDescent="0.25">
      <c r="B9" s="76">
        <v>5</v>
      </c>
      <c r="C9" s="76" t="s">
        <v>458</v>
      </c>
      <c r="D9" s="88" t="s">
        <v>8</v>
      </c>
      <c r="E9" s="89">
        <v>4300</v>
      </c>
      <c r="F9" s="90"/>
      <c r="G9" s="76"/>
      <c r="H9" s="90"/>
      <c r="I9" s="43"/>
      <c r="J9" s="91"/>
      <c r="K9" s="43"/>
      <c r="L9" s="91"/>
      <c r="M9" s="43"/>
      <c r="N9" s="92"/>
    </row>
    <row r="10" spans="2:14" s="50" customFormat="1" x14ac:dyDescent="0.25">
      <c r="B10" s="76">
        <v>6</v>
      </c>
      <c r="C10" s="76" t="s">
        <v>490</v>
      </c>
      <c r="D10" s="88" t="s">
        <v>9</v>
      </c>
      <c r="E10" s="89">
        <v>2839</v>
      </c>
      <c r="F10" s="90"/>
      <c r="G10" s="76"/>
      <c r="H10" s="90"/>
      <c r="I10" s="43"/>
      <c r="J10" s="91"/>
      <c r="K10" s="43"/>
      <c r="L10" s="91"/>
      <c r="M10" s="43"/>
      <c r="N10" s="92"/>
    </row>
    <row r="11" spans="2:14" s="50" customFormat="1" x14ac:dyDescent="0.25">
      <c r="B11" s="76">
        <v>7</v>
      </c>
      <c r="C11" s="76" t="s">
        <v>500</v>
      </c>
      <c r="D11" s="88" t="s">
        <v>10</v>
      </c>
      <c r="E11" s="89">
        <v>4544</v>
      </c>
      <c r="F11" s="90"/>
      <c r="G11" s="76"/>
      <c r="H11" s="90"/>
      <c r="I11" s="43"/>
      <c r="J11" s="91"/>
      <c r="K11" s="43"/>
      <c r="L11" s="91"/>
      <c r="M11" s="43"/>
      <c r="N11" s="92"/>
    </row>
    <row r="12" spans="2:14" s="50" customFormat="1" x14ac:dyDescent="0.25">
      <c r="B12" s="76">
        <v>8</v>
      </c>
      <c r="C12" s="76" t="s">
        <v>497</v>
      </c>
      <c r="D12" s="88" t="s">
        <v>11</v>
      </c>
      <c r="E12" s="89">
        <v>5100</v>
      </c>
      <c r="F12" s="90"/>
      <c r="G12" s="76"/>
      <c r="H12" s="90"/>
      <c r="I12" s="43"/>
      <c r="J12" s="91"/>
      <c r="K12" s="43"/>
      <c r="L12" s="91"/>
      <c r="M12" s="43"/>
      <c r="N12" s="92"/>
    </row>
    <row r="13" spans="2:14" s="50" customFormat="1" x14ac:dyDescent="0.25">
      <c r="B13" s="76">
        <v>9</v>
      </c>
      <c r="C13" s="76" t="s">
        <v>491</v>
      </c>
      <c r="D13" s="88" t="s">
        <v>12</v>
      </c>
      <c r="E13" s="89">
        <v>7160</v>
      </c>
      <c r="F13" s="90"/>
      <c r="G13" s="76"/>
      <c r="H13" s="90"/>
      <c r="I13" s="43"/>
      <c r="J13" s="91"/>
      <c r="K13" s="43"/>
      <c r="L13" s="91"/>
      <c r="M13" s="43"/>
      <c r="N13" s="92"/>
    </row>
    <row r="14" spans="2:14" s="50" customFormat="1" x14ac:dyDescent="0.25">
      <c r="B14" s="76">
        <v>10</v>
      </c>
      <c r="C14" s="76" t="s">
        <v>492</v>
      </c>
      <c r="D14" s="88" t="s">
        <v>13</v>
      </c>
      <c r="E14" s="89">
        <v>3350</v>
      </c>
      <c r="F14" s="90"/>
      <c r="G14" s="76"/>
      <c r="H14" s="90"/>
      <c r="I14" s="43"/>
      <c r="J14" s="91"/>
      <c r="K14" s="43"/>
      <c r="L14" s="91"/>
      <c r="M14" s="43"/>
      <c r="N14" s="92"/>
    </row>
    <row r="15" spans="2:14" s="50" customFormat="1" x14ac:dyDescent="0.25">
      <c r="B15" s="76">
        <v>11</v>
      </c>
      <c r="C15" s="76" t="s">
        <v>421</v>
      </c>
      <c r="D15" s="88" t="s">
        <v>14</v>
      </c>
      <c r="E15" s="89">
        <v>25200</v>
      </c>
      <c r="F15" s="90"/>
      <c r="G15" s="76"/>
      <c r="H15" s="90"/>
      <c r="I15" s="43"/>
      <c r="J15" s="91"/>
      <c r="K15" s="43"/>
      <c r="L15" s="91"/>
      <c r="M15" s="43"/>
      <c r="N15" s="92"/>
    </row>
    <row r="16" spans="2:14" s="50" customFormat="1" x14ac:dyDescent="0.25">
      <c r="B16" s="76">
        <v>12</v>
      </c>
      <c r="C16" s="76" t="s">
        <v>493</v>
      </c>
      <c r="D16" s="88" t="s">
        <v>15</v>
      </c>
      <c r="E16" s="89">
        <v>19000</v>
      </c>
      <c r="F16" s="90"/>
      <c r="G16" s="76"/>
      <c r="H16" s="90"/>
      <c r="I16" s="43"/>
      <c r="J16" s="91"/>
      <c r="K16" s="43"/>
      <c r="L16" s="91"/>
      <c r="M16" s="43"/>
      <c r="N16" s="92"/>
    </row>
    <row r="17" spans="2:14" s="50" customFormat="1" x14ac:dyDescent="0.25">
      <c r="B17" s="76">
        <v>13</v>
      </c>
      <c r="C17" s="76" t="s">
        <v>966</v>
      </c>
      <c r="D17" s="88" t="s">
        <v>17</v>
      </c>
      <c r="E17" s="89">
        <v>2910</v>
      </c>
      <c r="F17" s="90"/>
      <c r="G17" s="76"/>
      <c r="H17" s="90"/>
      <c r="I17" s="43"/>
      <c r="J17" s="91"/>
      <c r="K17" s="43"/>
      <c r="L17" s="91"/>
      <c r="M17" s="43"/>
      <c r="N17" s="92"/>
    </row>
    <row r="18" spans="2:14" s="50" customFormat="1" x14ac:dyDescent="0.25">
      <c r="B18" s="76">
        <v>14</v>
      </c>
      <c r="C18" s="76" t="s">
        <v>422</v>
      </c>
      <c r="D18" s="88" t="s">
        <v>16</v>
      </c>
      <c r="E18" s="89">
        <v>339</v>
      </c>
      <c r="F18" s="90"/>
      <c r="G18" s="76"/>
      <c r="H18" s="90"/>
      <c r="I18" s="43"/>
      <c r="J18" s="91"/>
      <c r="K18" s="43"/>
      <c r="L18" s="91"/>
      <c r="M18" s="43"/>
      <c r="N18" s="92"/>
    </row>
    <row r="19" spans="2:14" s="50" customFormat="1" x14ac:dyDescent="0.25">
      <c r="B19" s="76">
        <v>15</v>
      </c>
      <c r="C19" s="76" t="s">
        <v>495</v>
      </c>
      <c r="D19" s="88" t="s">
        <v>18</v>
      </c>
      <c r="E19" s="89">
        <v>339</v>
      </c>
      <c r="F19" s="90"/>
      <c r="G19" s="76"/>
      <c r="H19" s="90"/>
      <c r="I19" s="43"/>
      <c r="J19" s="91"/>
      <c r="K19" s="43"/>
      <c r="L19" s="91"/>
      <c r="M19" s="43"/>
      <c r="N19" s="92"/>
    </row>
    <row r="20" spans="2:14" s="50" customFormat="1" x14ac:dyDescent="0.25">
      <c r="B20" s="76">
        <v>16</v>
      </c>
      <c r="C20" s="76" t="s">
        <v>496</v>
      </c>
      <c r="D20" s="88" t="s">
        <v>19</v>
      </c>
      <c r="E20" s="89">
        <v>3150</v>
      </c>
      <c r="F20" s="90"/>
      <c r="G20" s="76"/>
      <c r="H20" s="90"/>
      <c r="I20" s="43"/>
      <c r="J20" s="91"/>
      <c r="K20" s="43"/>
      <c r="L20" s="91"/>
      <c r="M20" s="43"/>
      <c r="N20" s="92"/>
    </row>
    <row r="21" spans="2:14" s="50" customFormat="1" x14ac:dyDescent="0.25">
      <c r="B21" s="76">
        <v>17</v>
      </c>
      <c r="C21" s="76" t="s">
        <v>423</v>
      </c>
      <c r="D21" s="88" t="s">
        <v>20</v>
      </c>
      <c r="E21" s="89">
        <v>3150</v>
      </c>
      <c r="F21" s="90"/>
      <c r="G21" s="76"/>
      <c r="H21" s="90"/>
      <c r="I21" s="43"/>
      <c r="J21" s="91"/>
      <c r="K21" s="43"/>
      <c r="L21" s="91"/>
      <c r="M21" s="43"/>
      <c r="N21" s="92"/>
    </row>
    <row r="22" spans="2:14" s="50" customFormat="1" x14ac:dyDescent="0.25">
      <c r="B22" s="76">
        <v>18</v>
      </c>
      <c r="C22" s="76" t="s">
        <v>398</v>
      </c>
      <c r="D22" s="88" t="s">
        <v>21</v>
      </c>
      <c r="E22" s="89">
        <v>19000</v>
      </c>
      <c r="F22" s="90"/>
      <c r="G22" s="76"/>
      <c r="H22" s="90"/>
      <c r="I22" s="43"/>
      <c r="J22" s="91"/>
      <c r="K22" s="43"/>
      <c r="L22" s="91"/>
      <c r="M22" s="43"/>
      <c r="N22" s="92"/>
    </row>
    <row r="23" spans="2:14" s="50" customFormat="1" x14ac:dyDescent="0.25">
      <c r="B23" s="76">
        <v>19</v>
      </c>
      <c r="C23" s="76" t="s">
        <v>399</v>
      </c>
      <c r="D23" s="88" t="s">
        <v>22</v>
      </c>
      <c r="E23" s="89">
        <v>28500</v>
      </c>
      <c r="F23" s="90"/>
      <c r="G23" s="76"/>
      <c r="H23" s="90"/>
      <c r="I23" s="43"/>
      <c r="J23" s="91"/>
      <c r="K23" s="43"/>
      <c r="L23" s="91"/>
      <c r="M23" s="43"/>
      <c r="N23" s="92"/>
    </row>
    <row r="24" spans="2:14" s="50" customFormat="1" x14ac:dyDescent="0.25">
      <c r="B24" s="76">
        <v>20</v>
      </c>
      <c r="C24" s="76" t="s">
        <v>424</v>
      </c>
      <c r="D24" s="88" t="s">
        <v>23</v>
      </c>
      <c r="E24" s="89">
        <v>395000</v>
      </c>
      <c r="F24" s="90"/>
      <c r="G24" s="76"/>
      <c r="H24" s="90"/>
      <c r="I24" s="43"/>
      <c r="J24" s="91"/>
      <c r="K24" s="43"/>
      <c r="L24" s="91"/>
      <c r="M24" s="43"/>
      <c r="N24" s="92"/>
    </row>
    <row r="25" spans="2:14" s="50" customFormat="1" x14ac:dyDescent="0.25">
      <c r="B25" s="76">
        <v>21</v>
      </c>
      <c r="C25" s="76" t="s">
        <v>400</v>
      </c>
      <c r="D25" s="88" t="s">
        <v>24</v>
      </c>
      <c r="E25" s="89">
        <v>22000</v>
      </c>
      <c r="F25" s="90"/>
      <c r="G25" s="76"/>
      <c r="H25" s="90"/>
      <c r="I25" s="43"/>
      <c r="J25" s="91"/>
      <c r="K25" s="43"/>
      <c r="L25" s="91"/>
      <c r="M25" s="43"/>
      <c r="N25" s="92"/>
    </row>
    <row r="26" spans="2:14" s="50" customFormat="1" x14ac:dyDescent="0.25">
      <c r="B26" s="76">
        <v>22</v>
      </c>
      <c r="C26" s="76" t="s">
        <v>401</v>
      </c>
      <c r="D26" s="88" t="s">
        <v>25</v>
      </c>
      <c r="E26" s="89">
        <v>35000</v>
      </c>
      <c r="F26" s="90"/>
      <c r="G26" s="76"/>
      <c r="H26" s="90"/>
      <c r="I26" s="43"/>
      <c r="J26" s="91"/>
      <c r="K26" s="43"/>
      <c r="L26" s="91"/>
      <c r="M26" s="43"/>
      <c r="N26" s="92"/>
    </row>
    <row r="27" spans="2:14" s="50" customFormat="1" x14ac:dyDescent="0.25">
      <c r="B27" s="76">
        <v>23</v>
      </c>
      <c r="C27" s="76" t="s">
        <v>402</v>
      </c>
      <c r="D27" s="88" t="s">
        <v>26</v>
      </c>
      <c r="E27" s="89">
        <v>38000</v>
      </c>
      <c r="F27" s="90"/>
      <c r="G27" s="76"/>
      <c r="H27" s="90"/>
      <c r="I27" s="43"/>
      <c r="J27" s="91"/>
      <c r="K27" s="43"/>
      <c r="L27" s="91"/>
      <c r="M27" s="43"/>
      <c r="N27" s="92"/>
    </row>
    <row r="28" spans="2:14" s="50" customFormat="1" x14ac:dyDescent="0.25">
      <c r="B28" s="76">
        <v>24</v>
      </c>
      <c r="C28" s="76" t="s">
        <v>403</v>
      </c>
      <c r="D28" s="88" t="s">
        <v>27</v>
      </c>
      <c r="E28" s="89">
        <v>44000</v>
      </c>
      <c r="F28" s="90"/>
      <c r="G28" s="76"/>
      <c r="H28" s="90"/>
      <c r="I28" s="43"/>
      <c r="J28" s="91"/>
      <c r="K28" s="43"/>
      <c r="L28" s="91"/>
      <c r="M28" s="43"/>
      <c r="N28" s="92"/>
    </row>
    <row r="29" spans="2:14" s="50" customFormat="1" x14ac:dyDescent="0.25">
      <c r="B29" s="76">
        <v>25</v>
      </c>
      <c r="C29" s="76" t="s">
        <v>404</v>
      </c>
      <c r="D29" s="88" t="s">
        <v>708</v>
      </c>
      <c r="E29" s="89">
        <v>33000</v>
      </c>
      <c r="F29" s="90"/>
      <c r="G29" s="76"/>
      <c r="H29" s="90"/>
      <c r="I29" s="43"/>
      <c r="J29" s="91"/>
      <c r="K29" s="43"/>
      <c r="L29" s="91"/>
      <c r="M29" s="43"/>
      <c r="N29" s="92"/>
    </row>
    <row r="30" spans="2:14" s="50" customFormat="1" x14ac:dyDescent="0.25">
      <c r="B30" s="76">
        <v>26</v>
      </c>
      <c r="C30" s="76" t="s">
        <v>707</v>
      </c>
      <c r="D30" s="88" t="s">
        <v>709</v>
      </c>
      <c r="E30" s="89">
        <v>185000</v>
      </c>
      <c r="F30" s="90" t="s">
        <v>710</v>
      </c>
      <c r="G30" s="76"/>
      <c r="H30" s="90"/>
      <c r="I30" s="43"/>
      <c r="J30" s="91"/>
      <c r="K30" s="43"/>
      <c r="L30" s="91"/>
      <c r="M30" s="43"/>
      <c r="N30" s="92"/>
    </row>
    <row r="31" spans="2:14" s="50" customFormat="1" x14ac:dyDescent="0.25">
      <c r="B31" s="76">
        <v>27</v>
      </c>
      <c r="C31" s="76" t="s">
        <v>711</v>
      </c>
      <c r="D31" s="88" t="s">
        <v>712</v>
      </c>
      <c r="E31" s="89">
        <v>925000</v>
      </c>
      <c r="F31" s="90" t="s">
        <v>710</v>
      </c>
      <c r="G31" s="76"/>
      <c r="H31" s="90"/>
      <c r="I31" s="43"/>
      <c r="J31" s="91"/>
      <c r="K31" s="43"/>
      <c r="L31" s="91"/>
      <c r="M31" s="43"/>
      <c r="N31" s="92"/>
    </row>
    <row r="32" spans="2:14" s="50" customFormat="1" x14ac:dyDescent="0.25">
      <c r="B32" s="76">
        <v>28</v>
      </c>
      <c r="C32" s="76" t="s">
        <v>405</v>
      </c>
      <c r="D32" s="88" t="s">
        <v>28</v>
      </c>
      <c r="E32" s="89">
        <v>2500</v>
      </c>
      <c r="F32" s="90"/>
      <c r="G32" s="76"/>
      <c r="H32" s="90"/>
      <c r="I32" s="43"/>
      <c r="J32" s="91"/>
      <c r="K32" s="43"/>
      <c r="L32" s="91"/>
      <c r="M32" s="43"/>
      <c r="N32" s="92"/>
    </row>
    <row r="33" spans="2:14" s="50" customFormat="1" x14ac:dyDescent="0.25">
      <c r="B33" s="76">
        <v>29</v>
      </c>
      <c r="C33" s="76" t="s">
        <v>406</v>
      </c>
      <c r="D33" s="88" t="s">
        <v>29</v>
      </c>
      <c r="E33" s="89">
        <v>5000</v>
      </c>
      <c r="F33" s="90"/>
      <c r="G33" s="76"/>
      <c r="H33" s="90"/>
      <c r="I33" s="43"/>
      <c r="J33" s="91"/>
      <c r="K33" s="43"/>
      <c r="L33" s="91"/>
      <c r="M33" s="43"/>
      <c r="N33" s="92"/>
    </row>
    <row r="34" spans="2:14" s="50" customFormat="1" x14ac:dyDescent="0.25">
      <c r="B34" s="76">
        <v>30</v>
      </c>
      <c r="C34" s="76" t="s">
        <v>407</v>
      </c>
      <c r="D34" s="88" t="s">
        <v>30</v>
      </c>
      <c r="E34" s="89">
        <v>10000</v>
      </c>
      <c r="F34" s="90"/>
      <c r="G34" s="76"/>
      <c r="H34" s="90"/>
      <c r="I34" s="43"/>
      <c r="J34" s="91"/>
      <c r="K34" s="43"/>
      <c r="L34" s="91"/>
      <c r="M34" s="43"/>
      <c r="N34" s="92"/>
    </row>
    <row r="35" spans="2:14" s="50" customFormat="1" x14ac:dyDescent="0.25">
      <c r="B35" s="76">
        <v>31</v>
      </c>
      <c r="C35" s="76" t="s">
        <v>408</v>
      </c>
      <c r="D35" s="88" t="s">
        <v>31</v>
      </c>
      <c r="E35" s="89">
        <v>16000</v>
      </c>
      <c r="F35" s="90"/>
      <c r="G35" s="76"/>
      <c r="H35" s="90"/>
      <c r="I35" s="43"/>
      <c r="J35" s="91"/>
      <c r="K35" s="43"/>
      <c r="L35" s="91"/>
      <c r="M35" s="43"/>
      <c r="N35" s="92"/>
    </row>
    <row r="36" spans="2:14" s="50" customFormat="1" x14ac:dyDescent="0.25">
      <c r="B36" s="76">
        <v>32</v>
      </c>
      <c r="C36" s="76" t="s">
        <v>409</v>
      </c>
      <c r="D36" s="88" t="s">
        <v>32</v>
      </c>
      <c r="E36" s="89">
        <v>5000</v>
      </c>
      <c r="F36" s="90"/>
      <c r="G36" s="76"/>
      <c r="H36" s="90"/>
      <c r="I36" s="43"/>
      <c r="J36" s="91"/>
      <c r="K36" s="43"/>
      <c r="L36" s="91"/>
      <c r="M36" s="43"/>
      <c r="N36" s="92"/>
    </row>
    <row r="37" spans="2:14" s="50" customFormat="1" x14ac:dyDescent="0.25">
      <c r="B37" s="76">
        <v>33</v>
      </c>
      <c r="C37" s="76" t="s">
        <v>406</v>
      </c>
      <c r="D37" s="88" t="s">
        <v>29</v>
      </c>
      <c r="E37" s="89">
        <v>5000</v>
      </c>
      <c r="F37" s="90"/>
      <c r="G37" s="76"/>
      <c r="H37" s="90"/>
      <c r="I37" s="43"/>
      <c r="J37" s="91"/>
      <c r="K37" s="43"/>
      <c r="L37" s="91"/>
      <c r="M37" s="43"/>
      <c r="N37" s="92"/>
    </row>
    <row r="38" spans="2:14" s="50" customFormat="1" x14ac:dyDescent="0.25">
      <c r="B38" s="76">
        <v>34</v>
      </c>
      <c r="C38" s="76" t="s">
        <v>425</v>
      </c>
      <c r="D38" s="88" t="s">
        <v>33</v>
      </c>
      <c r="E38" s="89">
        <v>9550</v>
      </c>
      <c r="F38" s="90"/>
      <c r="G38" s="76"/>
      <c r="H38" s="90"/>
      <c r="I38" s="43"/>
      <c r="J38" s="91"/>
      <c r="K38" s="43"/>
      <c r="L38" s="91"/>
      <c r="M38" s="43"/>
      <c r="N38" s="92"/>
    </row>
    <row r="39" spans="2:14" s="50" customFormat="1" x14ac:dyDescent="0.25">
      <c r="B39" s="76">
        <v>35</v>
      </c>
      <c r="C39" s="76" t="s">
        <v>428</v>
      </c>
      <c r="D39" s="88" t="s">
        <v>34</v>
      </c>
      <c r="E39" s="89">
        <v>3820</v>
      </c>
      <c r="F39" s="90"/>
      <c r="G39" s="76"/>
      <c r="H39" s="90"/>
      <c r="I39" s="43"/>
      <c r="J39" s="91"/>
      <c r="K39" s="43"/>
      <c r="L39" s="91"/>
      <c r="M39" s="43"/>
      <c r="N39" s="92"/>
    </row>
    <row r="40" spans="2:14" s="50" customFormat="1" x14ac:dyDescent="0.25">
      <c r="B40" s="76">
        <v>36</v>
      </c>
      <c r="C40" s="76" t="s">
        <v>430</v>
      </c>
      <c r="D40" s="88" t="s">
        <v>35</v>
      </c>
      <c r="E40" s="89">
        <v>4400</v>
      </c>
      <c r="F40" s="90"/>
      <c r="G40" s="76"/>
      <c r="H40" s="90"/>
      <c r="I40" s="43"/>
      <c r="J40" s="91"/>
      <c r="K40" s="43"/>
      <c r="L40" s="91"/>
      <c r="M40" s="43"/>
      <c r="N40" s="92"/>
    </row>
    <row r="41" spans="2:14" s="50" customFormat="1" x14ac:dyDescent="0.25">
      <c r="B41" s="76">
        <v>37</v>
      </c>
      <c r="C41" s="76" t="s">
        <v>431</v>
      </c>
      <c r="D41" s="88" t="s">
        <v>36</v>
      </c>
      <c r="E41" s="89">
        <v>2200</v>
      </c>
      <c r="F41" s="90"/>
      <c r="G41" s="76"/>
      <c r="H41" s="90"/>
      <c r="I41" s="43"/>
      <c r="J41" s="91"/>
      <c r="K41" s="43"/>
      <c r="L41" s="91"/>
      <c r="M41" s="43"/>
      <c r="N41" s="92"/>
    </row>
    <row r="42" spans="2:14" s="50" customFormat="1" x14ac:dyDescent="0.25">
      <c r="B42" s="76">
        <v>38</v>
      </c>
      <c r="C42" s="76" t="s">
        <v>429</v>
      </c>
      <c r="D42" s="88" t="s">
        <v>37</v>
      </c>
      <c r="E42" s="89">
        <v>1350</v>
      </c>
      <c r="F42" s="90"/>
      <c r="G42" s="76"/>
      <c r="H42" s="90"/>
      <c r="I42" s="43"/>
      <c r="J42" s="91"/>
      <c r="K42" s="43"/>
      <c r="L42" s="91"/>
      <c r="M42" s="43"/>
      <c r="N42" s="92"/>
    </row>
    <row r="43" spans="2:14" s="50" customFormat="1" x14ac:dyDescent="0.25">
      <c r="B43" s="76">
        <v>39</v>
      </c>
      <c r="C43" s="76" t="s">
        <v>432</v>
      </c>
      <c r="D43" s="88" t="s">
        <v>38</v>
      </c>
      <c r="E43" s="89">
        <v>5000</v>
      </c>
      <c r="F43" s="90"/>
      <c r="G43" s="76"/>
      <c r="H43" s="90"/>
      <c r="I43" s="43"/>
      <c r="J43" s="91"/>
      <c r="K43" s="43"/>
      <c r="L43" s="91"/>
      <c r="M43" s="43"/>
      <c r="N43" s="92"/>
    </row>
    <row r="44" spans="2:14" s="50" customFormat="1" x14ac:dyDescent="0.25">
      <c r="B44" s="76">
        <v>40</v>
      </c>
      <c r="C44" s="76" t="s">
        <v>433</v>
      </c>
      <c r="D44" s="88" t="s">
        <v>39</v>
      </c>
      <c r="E44" s="89">
        <v>46440</v>
      </c>
      <c r="F44" s="90"/>
      <c r="G44" s="76"/>
      <c r="H44" s="90"/>
      <c r="I44" s="43"/>
      <c r="J44" s="91"/>
      <c r="K44" s="43"/>
      <c r="L44" s="91"/>
      <c r="M44" s="43"/>
      <c r="N44" s="92"/>
    </row>
    <row r="45" spans="2:14" s="50" customFormat="1" x14ac:dyDescent="0.25">
      <c r="B45" s="76">
        <v>41</v>
      </c>
      <c r="C45" s="76" t="s">
        <v>434</v>
      </c>
      <c r="D45" s="88" t="s">
        <v>40</v>
      </c>
      <c r="E45" s="89">
        <v>25800</v>
      </c>
      <c r="F45" s="90" t="s">
        <v>347</v>
      </c>
      <c r="G45" s="76"/>
      <c r="H45" s="90"/>
      <c r="I45" s="43"/>
      <c r="J45" s="91"/>
      <c r="K45" s="43"/>
      <c r="L45" s="91"/>
      <c r="M45" s="43"/>
      <c r="N45" s="92"/>
    </row>
    <row r="46" spans="2:14" s="50" customFormat="1" x14ac:dyDescent="0.25">
      <c r="B46" s="76">
        <v>42</v>
      </c>
      <c r="C46" s="76" t="s">
        <v>435</v>
      </c>
      <c r="D46" s="88" t="s">
        <v>41</v>
      </c>
      <c r="E46" s="89">
        <v>25800</v>
      </c>
      <c r="F46" s="90"/>
      <c r="G46" s="76"/>
      <c r="H46" s="90"/>
      <c r="I46" s="43"/>
      <c r="J46" s="91"/>
      <c r="K46" s="43"/>
      <c r="L46" s="91"/>
      <c r="M46" s="43"/>
      <c r="N46" s="92"/>
    </row>
    <row r="47" spans="2:14" s="50" customFormat="1" x14ac:dyDescent="0.25">
      <c r="B47" s="76">
        <v>43</v>
      </c>
      <c r="C47" s="76" t="s">
        <v>436</v>
      </c>
      <c r="D47" s="88" t="s">
        <v>42</v>
      </c>
      <c r="E47" s="89">
        <v>12900</v>
      </c>
      <c r="F47" s="90" t="s">
        <v>348</v>
      </c>
      <c r="G47" s="76"/>
      <c r="H47" s="90"/>
      <c r="I47" s="43"/>
      <c r="J47" s="91"/>
      <c r="K47" s="43"/>
      <c r="L47" s="91"/>
      <c r="M47" s="43"/>
      <c r="N47" s="92"/>
    </row>
    <row r="48" spans="2:14" s="50" customFormat="1" x14ac:dyDescent="0.25">
      <c r="B48" s="76">
        <v>44</v>
      </c>
      <c r="C48" s="76" t="s">
        <v>437</v>
      </c>
      <c r="D48" s="88" t="s">
        <v>43</v>
      </c>
      <c r="E48" s="89">
        <v>25800</v>
      </c>
      <c r="F48" s="90"/>
      <c r="G48" s="76"/>
      <c r="H48" s="90"/>
      <c r="I48" s="43"/>
      <c r="J48" s="91"/>
      <c r="K48" s="43"/>
      <c r="L48" s="91"/>
      <c r="M48" s="43"/>
      <c r="N48" s="92"/>
    </row>
    <row r="49" spans="2:14" s="50" customFormat="1" x14ac:dyDescent="0.25">
      <c r="B49" s="76">
        <v>45</v>
      </c>
      <c r="C49" s="76" t="s">
        <v>438</v>
      </c>
      <c r="D49" s="88" t="s">
        <v>44</v>
      </c>
      <c r="E49" s="89">
        <v>46440</v>
      </c>
      <c r="F49" s="90"/>
      <c r="G49" s="76"/>
      <c r="H49" s="90"/>
      <c r="I49" s="43"/>
      <c r="J49" s="91"/>
      <c r="K49" s="43"/>
      <c r="L49" s="91"/>
      <c r="M49" s="43"/>
      <c r="N49" s="92"/>
    </row>
    <row r="50" spans="2:14" s="50" customFormat="1" x14ac:dyDescent="0.25">
      <c r="B50" s="76">
        <v>46</v>
      </c>
      <c r="C50" s="76" t="s">
        <v>439</v>
      </c>
      <c r="D50" s="88" t="s">
        <v>45</v>
      </c>
      <c r="E50" s="89">
        <v>38700</v>
      </c>
      <c r="F50" s="90"/>
      <c r="G50" s="76"/>
      <c r="H50" s="90"/>
      <c r="I50" s="43"/>
      <c r="J50" s="91"/>
      <c r="K50" s="43"/>
      <c r="L50" s="91"/>
      <c r="M50" s="43"/>
      <c r="N50" s="92"/>
    </row>
    <row r="51" spans="2:14" s="50" customFormat="1" x14ac:dyDescent="0.25">
      <c r="B51" s="76">
        <v>47</v>
      </c>
      <c r="C51" s="76" t="s">
        <v>440</v>
      </c>
      <c r="D51" s="88" t="s">
        <v>46</v>
      </c>
      <c r="E51" s="89">
        <v>69660</v>
      </c>
      <c r="F51" s="90"/>
      <c r="G51" s="76"/>
      <c r="H51" s="90"/>
      <c r="I51" s="43"/>
      <c r="J51" s="91"/>
      <c r="K51" s="43"/>
      <c r="L51" s="91"/>
      <c r="M51" s="43"/>
      <c r="N51" s="92"/>
    </row>
    <row r="52" spans="2:14" s="50" customFormat="1" x14ac:dyDescent="0.25">
      <c r="B52" s="76">
        <v>48</v>
      </c>
      <c r="C52" s="76" t="s">
        <v>441</v>
      </c>
      <c r="D52" s="88" t="s">
        <v>47</v>
      </c>
      <c r="E52" s="89">
        <v>96750</v>
      </c>
      <c r="F52" s="90" t="s">
        <v>349</v>
      </c>
      <c r="G52" s="76"/>
      <c r="H52" s="90"/>
      <c r="I52" s="43"/>
      <c r="J52" s="91"/>
      <c r="K52" s="43"/>
      <c r="L52" s="91"/>
      <c r="M52" s="43"/>
      <c r="N52" s="92"/>
    </row>
    <row r="53" spans="2:14" s="50" customFormat="1" x14ac:dyDescent="0.25">
      <c r="B53" s="76">
        <v>49</v>
      </c>
      <c r="C53" s="76" t="s">
        <v>965</v>
      </c>
      <c r="D53" s="88" t="s">
        <v>48</v>
      </c>
      <c r="E53" s="89">
        <v>2000</v>
      </c>
      <c r="F53" s="90"/>
      <c r="G53" s="76"/>
      <c r="H53" s="90"/>
      <c r="I53" s="43"/>
      <c r="J53" s="91"/>
      <c r="K53" s="43"/>
      <c r="L53" s="91"/>
      <c r="M53" s="43"/>
      <c r="N53" s="92"/>
    </row>
    <row r="54" spans="2:14" s="50" customFormat="1" x14ac:dyDescent="0.25">
      <c r="B54" s="76">
        <v>50</v>
      </c>
      <c r="C54" s="76" t="s">
        <v>443</v>
      </c>
      <c r="D54" s="88" t="s">
        <v>49</v>
      </c>
      <c r="E54" s="89">
        <v>8800</v>
      </c>
      <c r="F54" s="90"/>
      <c r="G54" s="76"/>
      <c r="H54" s="90"/>
      <c r="I54" s="43"/>
      <c r="J54" s="91"/>
      <c r="K54" s="43"/>
      <c r="L54" s="91"/>
      <c r="M54" s="43"/>
      <c r="N54" s="92"/>
    </row>
    <row r="55" spans="2:14" s="50" customFormat="1" x14ac:dyDescent="0.25">
      <c r="B55" s="76">
        <v>51</v>
      </c>
      <c r="C55" s="76" t="s">
        <v>501</v>
      </c>
      <c r="D55" s="88" t="s">
        <v>50</v>
      </c>
      <c r="E55" s="89">
        <v>19500</v>
      </c>
      <c r="F55" s="90" t="s">
        <v>350</v>
      </c>
      <c r="G55" s="76"/>
      <c r="H55" s="90"/>
      <c r="I55" s="43"/>
      <c r="J55" s="91"/>
      <c r="K55" s="43"/>
      <c r="L55" s="91"/>
      <c r="M55" s="43"/>
      <c r="N55" s="92"/>
    </row>
    <row r="56" spans="2:14" s="50" customFormat="1" x14ac:dyDescent="0.25">
      <c r="B56" s="76">
        <v>52</v>
      </c>
      <c r="C56" s="76" t="s">
        <v>445</v>
      </c>
      <c r="D56" s="88" t="s">
        <v>51</v>
      </c>
      <c r="E56" s="89">
        <v>3125</v>
      </c>
      <c r="F56" s="90"/>
      <c r="G56" s="76"/>
      <c r="H56" s="90"/>
      <c r="I56" s="43"/>
      <c r="J56" s="91"/>
      <c r="K56" s="43"/>
      <c r="L56" s="91"/>
      <c r="M56" s="43"/>
      <c r="N56" s="92"/>
    </row>
    <row r="57" spans="2:14" s="50" customFormat="1" x14ac:dyDescent="0.25">
      <c r="B57" s="76">
        <v>53</v>
      </c>
      <c r="C57" s="76" t="s">
        <v>446</v>
      </c>
      <c r="D57" s="88" t="s">
        <v>52</v>
      </c>
      <c r="E57" s="89">
        <v>2500</v>
      </c>
      <c r="F57" s="90"/>
      <c r="G57" s="76"/>
      <c r="H57" s="90"/>
      <c r="I57" s="43"/>
      <c r="J57" s="91"/>
      <c r="K57" s="43"/>
      <c r="L57" s="91"/>
      <c r="M57" s="43"/>
      <c r="N57" s="92"/>
    </row>
    <row r="58" spans="2:14" s="50" customFormat="1" x14ac:dyDescent="0.25">
      <c r="B58" s="76">
        <v>54</v>
      </c>
      <c r="C58" s="76" t="s">
        <v>444</v>
      </c>
      <c r="D58" s="88" t="s">
        <v>53</v>
      </c>
      <c r="E58" s="89">
        <v>3000</v>
      </c>
      <c r="F58" s="90" t="s">
        <v>351</v>
      </c>
      <c r="G58" s="76"/>
      <c r="H58" s="90"/>
      <c r="I58" s="43"/>
      <c r="J58" s="91"/>
      <c r="K58" s="43"/>
      <c r="L58" s="91"/>
      <c r="M58" s="43"/>
      <c r="N58" s="92"/>
    </row>
    <row r="59" spans="2:14" s="50" customFormat="1" x14ac:dyDescent="0.25">
      <c r="B59" s="76">
        <v>55</v>
      </c>
      <c r="C59" s="76" t="s">
        <v>448</v>
      </c>
      <c r="D59" s="88" t="s">
        <v>54</v>
      </c>
      <c r="E59" s="89">
        <v>2755</v>
      </c>
      <c r="F59" s="90" t="s">
        <v>352</v>
      </c>
      <c r="G59" s="76"/>
      <c r="H59" s="90"/>
      <c r="I59" s="43"/>
      <c r="J59" s="91"/>
      <c r="K59" s="43"/>
      <c r="L59" s="91"/>
      <c r="M59" s="43"/>
      <c r="N59" s="92"/>
    </row>
    <row r="60" spans="2:14" s="50" customFormat="1" x14ac:dyDescent="0.25">
      <c r="B60" s="76">
        <v>56</v>
      </c>
      <c r="C60" s="76" t="s">
        <v>449</v>
      </c>
      <c r="D60" s="88" t="s">
        <v>55</v>
      </c>
      <c r="E60" s="89">
        <v>5510</v>
      </c>
      <c r="F60" s="90" t="s">
        <v>352</v>
      </c>
      <c r="G60" s="76"/>
      <c r="H60" s="90"/>
      <c r="I60" s="43"/>
      <c r="J60" s="91"/>
      <c r="K60" s="43"/>
      <c r="L60" s="91"/>
      <c r="M60" s="43"/>
      <c r="N60" s="92"/>
    </row>
    <row r="61" spans="2:14" s="50" customFormat="1" x14ac:dyDescent="0.25">
      <c r="B61" s="76">
        <v>57</v>
      </c>
      <c r="C61" s="76" t="s">
        <v>447</v>
      </c>
      <c r="D61" s="88" t="s">
        <v>56</v>
      </c>
      <c r="E61" s="89">
        <v>4370</v>
      </c>
      <c r="F61" s="90" t="s">
        <v>352</v>
      </c>
      <c r="G61" s="76"/>
      <c r="H61" s="90"/>
      <c r="I61" s="43"/>
      <c r="J61" s="91"/>
      <c r="K61" s="43"/>
      <c r="L61" s="91"/>
      <c r="M61" s="43"/>
      <c r="N61" s="92"/>
    </row>
    <row r="62" spans="2:14" s="50" customFormat="1" x14ac:dyDescent="0.25">
      <c r="B62" s="76">
        <v>58</v>
      </c>
      <c r="C62" s="76" t="s">
        <v>450</v>
      </c>
      <c r="D62" s="88" t="s">
        <v>57</v>
      </c>
      <c r="E62" s="89">
        <v>8740</v>
      </c>
      <c r="F62" s="90" t="s">
        <v>352</v>
      </c>
      <c r="G62" s="76"/>
      <c r="H62" s="90"/>
      <c r="I62" s="43"/>
      <c r="J62" s="91"/>
      <c r="K62" s="43"/>
      <c r="L62" s="91"/>
      <c r="M62" s="43"/>
      <c r="N62" s="92"/>
    </row>
    <row r="63" spans="2:14" s="50" customFormat="1" x14ac:dyDescent="0.25">
      <c r="B63" s="76">
        <v>59</v>
      </c>
      <c r="C63" s="76" t="s">
        <v>451</v>
      </c>
      <c r="D63" s="88" t="s">
        <v>359</v>
      </c>
      <c r="E63" s="89">
        <v>6500</v>
      </c>
      <c r="F63" s="90"/>
      <c r="G63" s="89">
        <v>4500</v>
      </c>
      <c r="H63" s="90" t="s">
        <v>362</v>
      </c>
      <c r="I63" s="43"/>
      <c r="J63" s="91"/>
      <c r="K63" s="43"/>
      <c r="L63" s="91"/>
      <c r="M63" s="43"/>
      <c r="N63" s="92"/>
    </row>
    <row r="64" spans="2:14" s="50" customFormat="1" x14ac:dyDescent="0.25">
      <c r="B64" s="76">
        <v>60</v>
      </c>
      <c r="C64" s="76" t="s">
        <v>452</v>
      </c>
      <c r="D64" s="88" t="s">
        <v>358</v>
      </c>
      <c r="E64" s="89">
        <v>3250</v>
      </c>
      <c r="F64" s="90"/>
      <c r="G64" s="76"/>
      <c r="H64" s="90"/>
      <c r="I64" s="43"/>
      <c r="J64" s="91"/>
      <c r="K64" s="43"/>
      <c r="L64" s="91"/>
      <c r="M64" s="43"/>
      <c r="N64" s="92"/>
    </row>
    <row r="65" spans="2:14" s="50" customFormat="1" x14ac:dyDescent="0.25">
      <c r="B65" s="76">
        <v>61</v>
      </c>
      <c r="C65" s="76" t="s">
        <v>453</v>
      </c>
      <c r="D65" s="88" t="s">
        <v>357</v>
      </c>
      <c r="E65" s="89">
        <v>1100</v>
      </c>
      <c r="F65" s="90"/>
      <c r="G65" s="76"/>
      <c r="H65" s="90"/>
      <c r="I65" s="43"/>
      <c r="J65" s="91"/>
      <c r="K65" s="43"/>
      <c r="L65" s="91"/>
      <c r="M65" s="43"/>
      <c r="N65" s="92"/>
    </row>
    <row r="66" spans="2:14" s="50" customFormat="1" x14ac:dyDescent="0.25">
      <c r="B66" s="76">
        <v>62</v>
      </c>
      <c r="C66" s="76" t="s">
        <v>454</v>
      </c>
      <c r="D66" s="88" t="s">
        <v>356</v>
      </c>
      <c r="E66" s="89">
        <v>1614</v>
      </c>
      <c r="F66" s="90"/>
      <c r="G66" s="76"/>
      <c r="H66" s="90"/>
      <c r="I66" s="43"/>
      <c r="J66" s="91"/>
      <c r="K66" s="43"/>
      <c r="L66" s="91"/>
      <c r="M66" s="43"/>
      <c r="N66" s="92"/>
    </row>
    <row r="67" spans="2:14" s="50" customFormat="1" x14ac:dyDescent="0.25">
      <c r="B67" s="76">
        <v>63</v>
      </c>
      <c r="C67" s="76" t="s">
        <v>455</v>
      </c>
      <c r="D67" s="88" t="s">
        <v>355</v>
      </c>
      <c r="E67" s="89">
        <v>3228</v>
      </c>
      <c r="F67" s="90"/>
      <c r="G67" s="76"/>
      <c r="H67" s="90"/>
      <c r="I67" s="43"/>
      <c r="J67" s="91"/>
      <c r="K67" s="43"/>
      <c r="L67" s="91"/>
      <c r="M67" s="43"/>
      <c r="N67" s="92"/>
    </row>
    <row r="68" spans="2:14" s="50" customFormat="1" x14ac:dyDescent="0.25">
      <c r="B68" s="76">
        <v>64</v>
      </c>
      <c r="C68" s="76" t="s">
        <v>456</v>
      </c>
      <c r="D68" s="88" t="s">
        <v>58</v>
      </c>
      <c r="E68" s="89">
        <v>6456</v>
      </c>
      <c r="F68" s="90"/>
      <c r="G68" s="76"/>
      <c r="H68" s="90"/>
      <c r="I68" s="43"/>
      <c r="J68" s="91"/>
      <c r="K68" s="43"/>
      <c r="L68" s="91"/>
      <c r="M68" s="43"/>
      <c r="N68" s="92"/>
    </row>
    <row r="69" spans="2:14" s="50" customFormat="1" x14ac:dyDescent="0.25">
      <c r="B69" s="76">
        <v>65</v>
      </c>
      <c r="C69" s="76" t="s">
        <v>502</v>
      </c>
      <c r="D69" s="88" t="s">
        <v>354</v>
      </c>
      <c r="E69" s="89">
        <v>6500</v>
      </c>
      <c r="F69" s="90"/>
      <c r="G69" s="89">
        <v>4500</v>
      </c>
      <c r="H69" s="90" t="s">
        <v>362</v>
      </c>
      <c r="I69" s="43"/>
      <c r="J69" s="91"/>
      <c r="K69" s="43"/>
      <c r="L69" s="91"/>
      <c r="M69" s="43"/>
      <c r="N69" s="92"/>
    </row>
    <row r="70" spans="2:14" s="50" customFormat="1" x14ac:dyDescent="0.25">
      <c r="B70" s="76">
        <v>66</v>
      </c>
      <c r="C70" s="76" t="s">
        <v>503</v>
      </c>
      <c r="D70" s="88" t="s">
        <v>360</v>
      </c>
      <c r="E70" s="89">
        <v>2175</v>
      </c>
      <c r="F70" s="90"/>
      <c r="G70" s="76"/>
      <c r="H70" s="90"/>
      <c r="I70" s="43"/>
      <c r="J70" s="91"/>
      <c r="K70" s="43"/>
      <c r="L70" s="91"/>
      <c r="M70" s="43"/>
      <c r="N70" s="92"/>
    </row>
    <row r="71" spans="2:14" s="50" customFormat="1" x14ac:dyDescent="0.25">
      <c r="B71" s="76">
        <v>67</v>
      </c>
      <c r="C71" s="76" t="s">
        <v>504</v>
      </c>
      <c r="D71" s="88" t="s">
        <v>361</v>
      </c>
      <c r="E71" s="89">
        <v>5800</v>
      </c>
      <c r="F71" s="90"/>
      <c r="G71" s="76"/>
      <c r="H71" s="90"/>
      <c r="I71" s="43"/>
      <c r="J71" s="91"/>
      <c r="K71" s="43"/>
      <c r="L71" s="91"/>
      <c r="M71" s="43"/>
      <c r="N71" s="92"/>
    </row>
    <row r="72" spans="2:14" s="50" customFormat="1" x14ac:dyDescent="0.25">
      <c r="B72" s="76">
        <v>68</v>
      </c>
      <c r="C72" s="76" t="s">
        <v>505</v>
      </c>
      <c r="D72" s="88" t="s">
        <v>59</v>
      </c>
      <c r="E72" s="89">
        <v>3700</v>
      </c>
      <c r="F72" s="90"/>
      <c r="G72" s="76"/>
      <c r="H72" s="90"/>
      <c r="I72" s="43"/>
      <c r="J72" s="91"/>
      <c r="K72" s="43"/>
      <c r="L72" s="91"/>
      <c r="M72" s="43"/>
      <c r="N72" s="92"/>
    </row>
    <row r="73" spans="2:14" s="50" customFormat="1" x14ac:dyDescent="0.25">
      <c r="B73" s="76">
        <v>69</v>
      </c>
      <c r="C73" s="76" t="s">
        <v>738</v>
      </c>
      <c r="D73" s="88" t="s">
        <v>714</v>
      </c>
      <c r="E73" s="89">
        <v>810</v>
      </c>
      <c r="F73" s="90" t="s">
        <v>717</v>
      </c>
      <c r="G73" s="76"/>
      <c r="H73" s="90"/>
      <c r="I73" s="43"/>
      <c r="J73" s="91"/>
      <c r="K73" s="43"/>
      <c r="L73" s="91"/>
      <c r="M73" s="43"/>
      <c r="N73" s="92"/>
    </row>
    <row r="74" spans="2:14" s="50" customFormat="1" x14ac:dyDescent="0.25">
      <c r="B74" s="76">
        <v>70</v>
      </c>
      <c r="C74" s="76" t="s">
        <v>739</v>
      </c>
      <c r="D74" s="88" t="s">
        <v>715</v>
      </c>
      <c r="E74" s="89">
        <v>2160</v>
      </c>
      <c r="F74" s="90" t="s">
        <v>717</v>
      </c>
      <c r="G74" s="76"/>
      <c r="H74" s="90"/>
      <c r="I74" s="43"/>
      <c r="J74" s="91"/>
      <c r="K74" s="43"/>
      <c r="L74" s="91"/>
      <c r="M74" s="43"/>
      <c r="N74" s="92"/>
    </row>
    <row r="75" spans="2:14" s="50" customFormat="1" x14ac:dyDescent="0.25">
      <c r="B75" s="76">
        <v>71</v>
      </c>
      <c r="C75" s="76" t="s">
        <v>740</v>
      </c>
      <c r="D75" s="88" t="s">
        <v>716</v>
      </c>
      <c r="E75" s="89">
        <v>4320</v>
      </c>
      <c r="F75" s="90" t="s">
        <v>717</v>
      </c>
      <c r="G75" s="76"/>
      <c r="H75" s="90"/>
      <c r="I75" s="43"/>
      <c r="J75" s="91"/>
      <c r="K75" s="43"/>
      <c r="L75" s="91"/>
      <c r="M75" s="43"/>
      <c r="N75" s="92"/>
    </row>
    <row r="76" spans="2:14" s="50" customFormat="1" x14ac:dyDescent="0.25">
      <c r="B76" s="76">
        <v>72</v>
      </c>
      <c r="C76" s="76" t="s">
        <v>741</v>
      </c>
      <c r="D76" s="88" t="s">
        <v>718</v>
      </c>
      <c r="E76" s="89">
        <v>810</v>
      </c>
      <c r="F76" s="90" t="s">
        <v>717</v>
      </c>
      <c r="G76" s="76"/>
      <c r="H76" s="90"/>
      <c r="I76" s="43"/>
      <c r="J76" s="91"/>
      <c r="K76" s="43"/>
      <c r="L76" s="91"/>
      <c r="M76" s="43"/>
      <c r="N76" s="92"/>
    </row>
    <row r="77" spans="2:14" s="50" customFormat="1" x14ac:dyDescent="0.25">
      <c r="B77" s="76">
        <v>73</v>
      </c>
      <c r="C77" s="76" t="s">
        <v>742</v>
      </c>
      <c r="D77" s="88" t="s">
        <v>719</v>
      </c>
      <c r="E77" s="89">
        <v>2160</v>
      </c>
      <c r="F77" s="90" t="s">
        <v>717</v>
      </c>
      <c r="G77" s="76"/>
      <c r="H77" s="90"/>
      <c r="I77" s="43"/>
      <c r="J77" s="91"/>
      <c r="K77" s="43"/>
      <c r="L77" s="91"/>
      <c r="M77" s="43"/>
      <c r="N77" s="92"/>
    </row>
    <row r="78" spans="2:14" s="50" customFormat="1" x14ac:dyDescent="0.25">
      <c r="B78" s="76">
        <v>74</v>
      </c>
      <c r="C78" s="76" t="s">
        <v>743</v>
      </c>
      <c r="D78" s="88" t="s">
        <v>720</v>
      </c>
      <c r="E78" s="89">
        <v>810</v>
      </c>
      <c r="F78" s="90" t="s">
        <v>717</v>
      </c>
      <c r="G78" s="76"/>
      <c r="H78" s="90"/>
      <c r="I78" s="43"/>
      <c r="J78" s="91"/>
      <c r="K78" s="43"/>
      <c r="L78" s="91"/>
      <c r="M78" s="43"/>
      <c r="N78" s="92"/>
    </row>
    <row r="79" spans="2:14" s="50" customFormat="1" x14ac:dyDescent="0.25">
      <c r="B79" s="80">
        <v>75</v>
      </c>
      <c r="C79" s="76" t="s">
        <v>744</v>
      </c>
      <c r="D79" s="88" t="s">
        <v>721</v>
      </c>
      <c r="E79" s="89">
        <v>2160</v>
      </c>
      <c r="F79" s="90" t="s">
        <v>717</v>
      </c>
      <c r="G79" s="76"/>
      <c r="H79" s="90"/>
      <c r="I79" s="43"/>
      <c r="J79" s="91"/>
      <c r="K79" s="43"/>
      <c r="L79" s="91"/>
      <c r="M79" s="43"/>
      <c r="N79" s="92"/>
    </row>
    <row r="80" spans="2:14" s="50" customFormat="1" x14ac:dyDescent="0.25">
      <c r="B80" s="76">
        <v>76</v>
      </c>
      <c r="C80" s="76" t="s">
        <v>460</v>
      </c>
      <c r="D80" s="88" t="s">
        <v>60</v>
      </c>
      <c r="E80" s="89">
        <v>970</v>
      </c>
      <c r="F80" s="90"/>
      <c r="G80" s="76"/>
      <c r="H80" s="90"/>
      <c r="I80" s="43"/>
      <c r="J80" s="91"/>
      <c r="K80" s="43"/>
      <c r="L80" s="91"/>
      <c r="M80" s="43"/>
      <c r="N80" s="92"/>
    </row>
    <row r="81" spans="2:14" s="50" customFormat="1" x14ac:dyDescent="0.25">
      <c r="B81" s="76">
        <v>77</v>
      </c>
      <c r="C81" s="76" t="s">
        <v>461</v>
      </c>
      <c r="D81" s="88" t="s">
        <v>61</v>
      </c>
      <c r="E81" s="89">
        <v>895</v>
      </c>
      <c r="F81" s="90"/>
      <c r="G81" s="76"/>
      <c r="H81" s="90"/>
      <c r="I81" s="43"/>
      <c r="J81" s="91"/>
      <c r="K81" s="43"/>
      <c r="L81" s="91"/>
      <c r="M81" s="43"/>
      <c r="N81" s="92"/>
    </row>
    <row r="82" spans="2:14" s="50" customFormat="1" x14ac:dyDescent="0.25">
      <c r="B82" s="76">
        <v>78</v>
      </c>
      <c r="C82" s="76" t="s">
        <v>727</v>
      </c>
      <c r="D82" s="88" t="s">
        <v>728</v>
      </c>
      <c r="E82" s="89">
        <v>3500</v>
      </c>
      <c r="F82" s="90" t="s">
        <v>717</v>
      </c>
      <c r="G82" s="76"/>
      <c r="H82" s="90"/>
      <c r="I82" s="43"/>
      <c r="J82" s="91"/>
      <c r="K82" s="43"/>
      <c r="L82" s="91"/>
      <c r="M82" s="43"/>
      <c r="N82" s="92"/>
    </row>
    <row r="83" spans="2:14" s="50" customFormat="1" x14ac:dyDescent="0.25">
      <c r="B83" s="76">
        <v>79</v>
      </c>
      <c r="C83" s="76" t="s">
        <v>462</v>
      </c>
      <c r="D83" s="88" t="s">
        <v>62</v>
      </c>
      <c r="E83" s="89">
        <v>1300</v>
      </c>
      <c r="F83" s="90"/>
      <c r="G83" s="76"/>
      <c r="H83" s="90"/>
      <c r="I83" s="43"/>
      <c r="J83" s="91"/>
      <c r="K83" s="43"/>
      <c r="L83" s="91"/>
      <c r="M83" s="43"/>
      <c r="N83" s="92"/>
    </row>
    <row r="84" spans="2:14" s="50" customFormat="1" x14ac:dyDescent="0.25">
      <c r="B84" s="76">
        <v>80</v>
      </c>
      <c r="C84" s="76" t="s">
        <v>463</v>
      </c>
      <c r="D84" s="88" t="s">
        <v>411</v>
      </c>
      <c r="E84" s="89">
        <v>1900</v>
      </c>
      <c r="F84" s="90"/>
      <c r="G84" s="76"/>
      <c r="H84" s="90"/>
      <c r="I84" s="43"/>
      <c r="J84" s="91"/>
      <c r="K84" s="43"/>
      <c r="L84" s="91"/>
      <c r="M84" s="43"/>
      <c r="N84" s="92"/>
    </row>
    <row r="85" spans="2:14" s="50" customFormat="1" x14ac:dyDescent="0.25">
      <c r="B85" s="76">
        <v>81</v>
      </c>
      <c r="C85" s="76" t="s">
        <v>464</v>
      </c>
      <c r="D85" s="88" t="s">
        <v>63</v>
      </c>
      <c r="E85" s="89">
        <v>3800</v>
      </c>
      <c r="F85" s="90"/>
      <c r="G85" s="76"/>
      <c r="H85" s="90"/>
      <c r="I85" s="43"/>
      <c r="J85" s="91"/>
      <c r="K85" s="43"/>
      <c r="L85" s="91"/>
      <c r="M85" s="43"/>
      <c r="N85" s="92"/>
    </row>
    <row r="86" spans="2:14" s="50" customFormat="1" x14ac:dyDescent="0.25">
      <c r="B86" s="76">
        <v>82</v>
      </c>
      <c r="C86" s="76" t="s">
        <v>465</v>
      </c>
      <c r="D86" s="88" t="s">
        <v>64</v>
      </c>
      <c r="E86" s="89">
        <v>1450</v>
      </c>
      <c r="F86" s="90"/>
      <c r="G86" s="76"/>
      <c r="H86" s="90"/>
      <c r="I86" s="43"/>
      <c r="J86" s="91"/>
      <c r="K86" s="43"/>
      <c r="L86" s="91"/>
      <c r="M86" s="43"/>
      <c r="N86" s="92"/>
    </row>
    <row r="87" spans="2:14" s="50" customFormat="1" x14ac:dyDescent="0.25">
      <c r="B87" s="76">
        <v>83</v>
      </c>
      <c r="C87" s="76" t="s">
        <v>427</v>
      </c>
      <c r="D87" s="88" t="s">
        <v>65</v>
      </c>
      <c r="E87" s="89">
        <v>2900</v>
      </c>
      <c r="F87" s="90"/>
      <c r="G87" s="76"/>
      <c r="H87" s="90"/>
      <c r="I87" s="43"/>
      <c r="J87" s="91"/>
      <c r="K87" s="43"/>
      <c r="L87" s="91"/>
      <c r="M87" s="43"/>
      <c r="N87" s="92"/>
    </row>
    <row r="88" spans="2:14" s="50" customFormat="1" x14ac:dyDescent="0.25">
      <c r="B88" s="76">
        <v>84</v>
      </c>
      <c r="C88" s="76" t="s">
        <v>426</v>
      </c>
      <c r="D88" s="88" t="s">
        <v>66</v>
      </c>
      <c r="E88" s="89">
        <v>5800</v>
      </c>
      <c r="F88" s="90"/>
      <c r="G88" s="76"/>
      <c r="H88" s="90"/>
      <c r="I88" s="43"/>
      <c r="J88" s="91"/>
      <c r="K88" s="43"/>
      <c r="L88" s="91"/>
      <c r="M88" s="43"/>
      <c r="N88" s="92"/>
    </row>
    <row r="89" spans="2:14" s="50" customFormat="1" x14ac:dyDescent="0.25">
      <c r="B89" s="76">
        <v>85</v>
      </c>
      <c r="C89" s="76" t="s">
        <v>466</v>
      </c>
      <c r="D89" s="88" t="s">
        <v>67</v>
      </c>
      <c r="E89" s="89">
        <v>11600</v>
      </c>
      <c r="F89" s="90" t="s">
        <v>363</v>
      </c>
      <c r="G89" s="76"/>
      <c r="H89" s="90"/>
      <c r="I89" s="43"/>
      <c r="J89" s="91"/>
      <c r="K89" s="43"/>
      <c r="L89" s="91"/>
      <c r="M89" s="43"/>
      <c r="N89" s="92"/>
    </row>
    <row r="90" spans="2:14" s="50" customFormat="1" x14ac:dyDescent="0.25">
      <c r="B90" s="76">
        <v>86</v>
      </c>
      <c r="C90" s="76" t="s">
        <v>467</v>
      </c>
      <c r="D90" s="88" t="s">
        <v>729</v>
      </c>
      <c r="E90" s="89">
        <v>2500</v>
      </c>
      <c r="F90" s="90"/>
      <c r="G90" s="76"/>
      <c r="H90" s="90"/>
      <c r="I90" s="43"/>
      <c r="J90" s="91"/>
      <c r="K90" s="43"/>
      <c r="L90" s="91"/>
      <c r="M90" s="43"/>
      <c r="N90" s="92"/>
    </row>
    <row r="91" spans="2:14" s="50" customFormat="1" x14ac:dyDescent="0.25">
      <c r="B91" s="76">
        <v>87</v>
      </c>
      <c r="C91" s="76" t="s">
        <v>468</v>
      </c>
      <c r="D91" s="88" t="s">
        <v>1008</v>
      </c>
      <c r="E91" s="89">
        <v>5000</v>
      </c>
      <c r="F91" s="90"/>
      <c r="G91" s="76"/>
      <c r="H91" s="90"/>
      <c r="I91" s="43"/>
      <c r="J91" s="91"/>
      <c r="K91" s="43"/>
      <c r="L91" s="91"/>
      <c r="M91" s="43"/>
      <c r="N91" s="92"/>
    </row>
    <row r="92" spans="2:14" s="50" customFormat="1" x14ac:dyDescent="0.25">
      <c r="B92" s="76">
        <v>88</v>
      </c>
      <c r="C92" s="76" t="s">
        <v>469</v>
      </c>
      <c r="D92" s="88" t="s">
        <v>68</v>
      </c>
      <c r="E92" s="89">
        <v>4600</v>
      </c>
      <c r="F92" s="90"/>
      <c r="G92" s="76"/>
      <c r="H92" s="90"/>
      <c r="I92" s="43"/>
      <c r="J92" s="91"/>
      <c r="K92" s="43"/>
      <c r="L92" s="91"/>
      <c r="M92" s="43"/>
      <c r="N92" s="92"/>
    </row>
    <row r="93" spans="2:14" s="50" customFormat="1" x14ac:dyDescent="0.25">
      <c r="B93" s="76">
        <v>89</v>
      </c>
      <c r="C93" s="76" t="s">
        <v>470</v>
      </c>
      <c r="D93" s="88" t="s">
        <v>69</v>
      </c>
      <c r="E93" s="89">
        <v>9200</v>
      </c>
      <c r="F93" s="90"/>
      <c r="G93" s="76"/>
      <c r="H93" s="90"/>
      <c r="I93" s="43"/>
      <c r="J93" s="91"/>
      <c r="K93" s="43"/>
      <c r="L93" s="91"/>
      <c r="M93" s="43"/>
      <c r="N93" s="92"/>
    </row>
    <row r="94" spans="2:14" s="50" customFormat="1" x14ac:dyDescent="0.25">
      <c r="B94" s="76">
        <v>90</v>
      </c>
      <c r="C94" s="76" t="s">
        <v>471</v>
      </c>
      <c r="D94" s="88" t="s">
        <v>70</v>
      </c>
      <c r="E94" s="89">
        <v>1838</v>
      </c>
      <c r="F94" s="90"/>
      <c r="G94" s="76"/>
      <c r="H94" s="90"/>
      <c r="I94" s="43"/>
      <c r="J94" s="91"/>
      <c r="K94" s="43"/>
      <c r="L94" s="91"/>
      <c r="M94" s="43"/>
      <c r="N94" s="92"/>
    </row>
    <row r="95" spans="2:14" s="50" customFormat="1" x14ac:dyDescent="0.25">
      <c r="B95" s="76">
        <v>91</v>
      </c>
      <c r="C95" s="76" t="s">
        <v>472</v>
      </c>
      <c r="D95" s="88" t="s">
        <v>71</v>
      </c>
      <c r="E95" s="89">
        <v>3675</v>
      </c>
      <c r="F95" s="90"/>
      <c r="G95" s="89">
        <v>4100</v>
      </c>
      <c r="H95" s="90" t="s">
        <v>364</v>
      </c>
      <c r="I95" s="43"/>
      <c r="J95" s="91"/>
      <c r="K95" s="43"/>
      <c r="L95" s="91"/>
      <c r="M95" s="43"/>
      <c r="N95" s="92"/>
    </row>
    <row r="96" spans="2:14" s="50" customFormat="1" x14ac:dyDescent="0.25">
      <c r="B96" s="76">
        <v>92</v>
      </c>
      <c r="C96" s="76" t="s">
        <v>473</v>
      </c>
      <c r="D96" s="88" t="s">
        <v>72</v>
      </c>
      <c r="E96" s="89">
        <v>7350</v>
      </c>
      <c r="F96" s="90"/>
      <c r="G96" s="76"/>
      <c r="H96" s="90"/>
      <c r="I96" s="43"/>
      <c r="J96" s="91"/>
      <c r="K96" s="43"/>
      <c r="L96" s="91"/>
      <c r="M96" s="43"/>
      <c r="N96" s="92"/>
    </row>
    <row r="97" spans="2:14" s="50" customFormat="1" x14ac:dyDescent="0.25">
      <c r="B97" s="76">
        <v>93</v>
      </c>
      <c r="C97" s="76" t="s">
        <v>474</v>
      </c>
      <c r="D97" s="88" t="s">
        <v>73</v>
      </c>
      <c r="E97" s="89">
        <v>1395</v>
      </c>
      <c r="F97" s="90"/>
      <c r="G97" s="76"/>
      <c r="H97" s="90"/>
      <c r="I97" s="43"/>
      <c r="J97" s="91"/>
      <c r="K97" s="43"/>
      <c r="L97" s="91"/>
      <c r="M97" s="43"/>
      <c r="N97" s="92"/>
    </row>
    <row r="98" spans="2:14" s="50" customFormat="1" x14ac:dyDescent="0.25">
      <c r="B98" s="76">
        <v>94</v>
      </c>
      <c r="C98" s="76" t="s">
        <v>475</v>
      </c>
      <c r="D98" s="88" t="s">
        <v>74</v>
      </c>
      <c r="E98" s="89">
        <v>4150</v>
      </c>
      <c r="F98" s="90"/>
      <c r="G98" s="76"/>
      <c r="H98" s="90"/>
      <c r="I98" s="43"/>
      <c r="J98" s="91"/>
      <c r="K98" s="43"/>
      <c r="L98" s="91"/>
      <c r="M98" s="43"/>
      <c r="N98" s="92"/>
    </row>
    <row r="99" spans="2:14" s="50" customFormat="1" x14ac:dyDescent="0.25">
      <c r="B99" s="76">
        <v>95</v>
      </c>
      <c r="C99" s="76" t="s">
        <v>476</v>
      </c>
      <c r="D99" s="88" t="s">
        <v>75</v>
      </c>
      <c r="E99" s="89">
        <v>5500</v>
      </c>
      <c r="F99" s="90"/>
      <c r="G99" s="76"/>
      <c r="H99" s="90"/>
      <c r="I99" s="43"/>
      <c r="J99" s="91"/>
      <c r="K99" s="43"/>
      <c r="L99" s="91"/>
      <c r="M99" s="43"/>
      <c r="N99" s="92"/>
    </row>
    <row r="100" spans="2:14" s="50" customFormat="1" x14ac:dyDescent="0.25">
      <c r="B100" s="76">
        <v>96</v>
      </c>
      <c r="C100" s="76" t="s">
        <v>477</v>
      </c>
      <c r="D100" s="88" t="s">
        <v>76</v>
      </c>
      <c r="E100" s="89">
        <v>11000</v>
      </c>
      <c r="F100" s="90"/>
      <c r="G100" s="76"/>
      <c r="H100" s="90"/>
      <c r="I100" s="43"/>
      <c r="J100" s="91"/>
      <c r="K100" s="43"/>
      <c r="L100" s="91"/>
      <c r="M100" s="43"/>
      <c r="N100" s="92"/>
    </row>
    <row r="101" spans="2:14" s="50" customFormat="1" x14ac:dyDescent="0.25">
      <c r="B101" s="76">
        <v>97</v>
      </c>
      <c r="C101" s="76" t="s">
        <v>478</v>
      </c>
      <c r="D101" s="88" t="s">
        <v>77</v>
      </c>
      <c r="E101" s="89">
        <v>16500</v>
      </c>
      <c r="F101" s="90"/>
      <c r="G101" s="76"/>
      <c r="H101" s="90"/>
      <c r="I101" s="43"/>
      <c r="J101" s="91"/>
      <c r="K101" s="43"/>
      <c r="L101" s="91"/>
      <c r="M101" s="43"/>
      <c r="N101" s="92"/>
    </row>
    <row r="102" spans="2:14" s="50" customFormat="1" x14ac:dyDescent="0.25">
      <c r="B102" s="76">
        <v>98</v>
      </c>
      <c r="C102" s="76" t="s">
        <v>1006</v>
      </c>
      <c r="D102" s="88" t="s">
        <v>78</v>
      </c>
      <c r="E102" s="89">
        <v>4500</v>
      </c>
      <c r="F102" s="90"/>
      <c r="G102" s="76"/>
      <c r="H102" s="90"/>
      <c r="I102" s="43"/>
      <c r="J102" s="91"/>
      <c r="K102" s="43"/>
      <c r="L102" s="91"/>
      <c r="M102" s="43"/>
      <c r="N102" s="92"/>
    </row>
    <row r="103" spans="2:14" s="50" customFormat="1" x14ac:dyDescent="0.25">
      <c r="B103" s="76">
        <v>99</v>
      </c>
      <c r="C103" s="76" t="s">
        <v>1005</v>
      </c>
      <c r="D103" s="88" t="s">
        <v>79</v>
      </c>
      <c r="E103" s="89">
        <v>6000</v>
      </c>
      <c r="F103" s="90"/>
      <c r="G103" s="76"/>
      <c r="H103" s="90"/>
      <c r="I103" s="43"/>
      <c r="J103" s="91"/>
      <c r="K103" s="43"/>
      <c r="L103" s="91"/>
      <c r="M103" s="43"/>
      <c r="N103" s="92"/>
    </row>
    <row r="104" spans="2:14" s="50" customFormat="1" x14ac:dyDescent="0.25">
      <c r="B104" s="76">
        <v>100</v>
      </c>
      <c r="C104" s="76" t="s">
        <v>1007</v>
      </c>
      <c r="D104" s="88" t="s">
        <v>80</v>
      </c>
      <c r="E104" s="89">
        <v>12000</v>
      </c>
      <c r="F104" s="90"/>
      <c r="G104" s="76"/>
      <c r="H104" s="90"/>
      <c r="I104" s="43"/>
      <c r="J104" s="91"/>
      <c r="K104" s="43"/>
      <c r="L104" s="91"/>
      <c r="M104" s="43"/>
      <c r="N104" s="92"/>
    </row>
    <row r="105" spans="2:14" s="50" customFormat="1" x14ac:dyDescent="0.25">
      <c r="B105" s="76">
        <v>101</v>
      </c>
      <c r="C105" s="76" t="s">
        <v>482</v>
      </c>
      <c r="D105" s="88" t="s">
        <v>81</v>
      </c>
      <c r="E105" s="89">
        <v>11025</v>
      </c>
      <c r="F105" s="90"/>
      <c r="G105" s="76"/>
      <c r="H105" s="90"/>
      <c r="I105" s="43"/>
      <c r="J105" s="91"/>
      <c r="K105" s="43"/>
      <c r="L105" s="91"/>
      <c r="M105" s="43"/>
      <c r="N105" s="92"/>
    </row>
    <row r="106" spans="2:14" s="50" customFormat="1" x14ac:dyDescent="0.25">
      <c r="B106" s="76">
        <v>102</v>
      </c>
      <c r="C106" s="76" t="s">
        <v>483</v>
      </c>
      <c r="D106" s="88" t="s">
        <v>82</v>
      </c>
      <c r="E106" s="89">
        <v>1450</v>
      </c>
      <c r="F106" s="90"/>
      <c r="G106" s="76"/>
      <c r="H106" s="90"/>
      <c r="I106" s="43"/>
      <c r="J106" s="91"/>
      <c r="K106" s="43"/>
      <c r="L106" s="91"/>
      <c r="M106" s="43"/>
      <c r="N106" s="92"/>
    </row>
    <row r="107" spans="2:14" s="50" customFormat="1" x14ac:dyDescent="0.25">
      <c r="B107" s="76">
        <v>103</v>
      </c>
      <c r="C107" s="76" t="s">
        <v>484</v>
      </c>
      <c r="D107" s="88" t="s">
        <v>83</v>
      </c>
      <c r="E107" s="89">
        <v>5873</v>
      </c>
      <c r="F107" s="90"/>
      <c r="G107" s="76"/>
      <c r="H107" s="90"/>
      <c r="I107" s="43"/>
      <c r="J107" s="91"/>
      <c r="K107" s="43"/>
      <c r="L107" s="91"/>
      <c r="M107" s="43"/>
      <c r="N107" s="92"/>
    </row>
    <row r="108" spans="2:14" s="50" customFormat="1" x14ac:dyDescent="0.25">
      <c r="B108" s="76">
        <v>104</v>
      </c>
      <c r="C108" s="76" t="s">
        <v>485</v>
      </c>
      <c r="D108" s="88" t="s">
        <v>84</v>
      </c>
      <c r="E108" s="89">
        <v>11745</v>
      </c>
      <c r="F108" s="90"/>
      <c r="G108" s="76"/>
      <c r="H108" s="90"/>
      <c r="I108" s="43"/>
      <c r="J108" s="91"/>
      <c r="K108" s="43"/>
      <c r="L108" s="91"/>
      <c r="M108" s="43"/>
      <c r="N108" s="92"/>
    </row>
    <row r="109" spans="2:14" s="50" customFormat="1" x14ac:dyDescent="0.25">
      <c r="B109" s="43">
        <v>105</v>
      </c>
      <c r="C109" s="93"/>
      <c r="D109" s="94" t="s">
        <v>85</v>
      </c>
      <c r="E109" s="95">
        <v>6750</v>
      </c>
      <c r="F109" s="91"/>
      <c r="G109" s="43"/>
      <c r="H109" s="91"/>
      <c r="I109" s="43"/>
      <c r="J109" s="91"/>
      <c r="K109" s="43"/>
      <c r="L109" s="91"/>
      <c r="M109" s="43"/>
      <c r="N109" s="92"/>
    </row>
    <row r="110" spans="2:14" s="50" customFormat="1" x14ac:dyDescent="0.25">
      <c r="B110" s="43">
        <v>106</v>
      </c>
      <c r="C110" s="93"/>
      <c r="D110" s="94" t="s">
        <v>86</v>
      </c>
      <c r="E110" s="95">
        <v>4350</v>
      </c>
      <c r="F110" s="91"/>
      <c r="G110" s="43"/>
      <c r="H110" s="91"/>
      <c r="I110" s="43"/>
      <c r="J110" s="91"/>
      <c r="K110" s="43"/>
      <c r="L110" s="91"/>
      <c r="M110" s="43"/>
      <c r="N110" s="92"/>
    </row>
    <row r="111" spans="2:14" s="50" customFormat="1" x14ac:dyDescent="0.25">
      <c r="B111" s="43">
        <v>107</v>
      </c>
      <c r="C111" s="93"/>
      <c r="D111" s="94" t="s">
        <v>87</v>
      </c>
      <c r="E111" s="95">
        <v>4350</v>
      </c>
      <c r="F111" s="91"/>
      <c r="G111" s="43"/>
      <c r="H111" s="91"/>
      <c r="I111" s="43"/>
      <c r="J111" s="91"/>
      <c r="K111" s="43"/>
      <c r="L111" s="91"/>
      <c r="M111" s="43"/>
      <c r="N111" s="92"/>
    </row>
    <row r="112" spans="2:14" ht="30" x14ac:dyDescent="0.25">
      <c r="B112" s="43">
        <v>108</v>
      </c>
      <c r="C112" s="6" t="s">
        <v>506</v>
      </c>
      <c r="D112" s="77" t="s">
        <v>88</v>
      </c>
      <c r="E112" s="8">
        <v>22500</v>
      </c>
      <c r="F112" s="26"/>
      <c r="G112" s="6"/>
      <c r="H112" s="26"/>
      <c r="I112" s="6"/>
      <c r="J112" s="26"/>
      <c r="K112" s="6"/>
      <c r="L112" s="26"/>
      <c r="M112" s="6"/>
      <c r="N112" s="96"/>
    </row>
    <row r="113" spans="2:14" ht="30" x14ac:dyDescent="0.25">
      <c r="B113" s="43">
        <v>109</v>
      </c>
      <c r="C113" s="6" t="s">
        <v>506</v>
      </c>
      <c r="D113" s="77" t="s">
        <v>89</v>
      </c>
      <c r="E113" s="8">
        <v>16000</v>
      </c>
      <c r="F113" s="26"/>
      <c r="G113" s="6"/>
      <c r="H113" s="26"/>
      <c r="I113" s="6"/>
      <c r="J113" s="26"/>
      <c r="K113" s="6"/>
      <c r="L113" s="26"/>
      <c r="M113" s="6"/>
      <c r="N113" s="96"/>
    </row>
    <row r="114" spans="2:14" ht="30" x14ac:dyDescent="0.25">
      <c r="B114" s="43">
        <v>110</v>
      </c>
      <c r="C114" s="6" t="s">
        <v>507</v>
      </c>
      <c r="D114" s="77" t="s">
        <v>90</v>
      </c>
      <c r="E114" s="8">
        <v>18919</v>
      </c>
      <c r="F114" s="26" t="s">
        <v>365</v>
      </c>
      <c r="G114" s="6"/>
      <c r="H114" s="26"/>
      <c r="I114" s="6"/>
      <c r="J114" s="26"/>
      <c r="K114" s="6"/>
      <c r="L114" s="26"/>
      <c r="M114" s="6"/>
      <c r="N114" s="96"/>
    </row>
    <row r="115" spans="2:14" x14ac:dyDescent="0.25">
      <c r="B115" s="43">
        <v>111</v>
      </c>
      <c r="C115" s="6" t="s">
        <v>508</v>
      </c>
      <c r="D115" s="97" t="s">
        <v>93</v>
      </c>
      <c r="E115" s="8">
        <v>8700</v>
      </c>
      <c r="F115" s="26"/>
      <c r="G115" s="6"/>
      <c r="H115" s="26"/>
      <c r="I115" s="6"/>
      <c r="J115" s="26"/>
      <c r="K115" s="6"/>
      <c r="L115" s="26"/>
      <c r="M115" s="6"/>
      <c r="N115" s="96"/>
    </row>
    <row r="116" spans="2:14" x14ac:dyDescent="0.25">
      <c r="B116" s="43">
        <v>112</v>
      </c>
      <c r="C116" s="6" t="s">
        <v>509</v>
      </c>
      <c r="D116" s="97" t="s">
        <v>94</v>
      </c>
      <c r="E116" s="8">
        <v>5800</v>
      </c>
      <c r="F116" s="26"/>
      <c r="G116" s="6"/>
      <c r="H116" s="26"/>
      <c r="I116" s="6"/>
      <c r="J116" s="26"/>
      <c r="K116" s="6"/>
      <c r="L116" s="26"/>
      <c r="M116" s="6"/>
      <c r="N116" s="96"/>
    </row>
    <row r="117" spans="2:14" x14ac:dyDescent="0.25">
      <c r="B117" s="43">
        <v>113</v>
      </c>
      <c r="C117" s="6" t="s">
        <v>510</v>
      </c>
      <c r="D117" s="97" t="s">
        <v>95</v>
      </c>
      <c r="E117" s="8">
        <v>8690</v>
      </c>
      <c r="F117" s="26"/>
      <c r="G117" s="6"/>
      <c r="H117" s="26"/>
      <c r="I117" s="6"/>
      <c r="J117" s="26"/>
      <c r="K117" s="6"/>
      <c r="L117" s="26"/>
      <c r="M117" s="6"/>
      <c r="N117" s="96"/>
    </row>
    <row r="118" spans="2:14" x14ac:dyDescent="0.25">
      <c r="B118" s="43">
        <v>114</v>
      </c>
      <c r="C118" s="6" t="s">
        <v>822</v>
      </c>
      <c r="D118" s="97" t="s">
        <v>821</v>
      </c>
      <c r="E118" s="8">
        <v>5150</v>
      </c>
      <c r="F118" s="26"/>
      <c r="G118" s="6"/>
      <c r="H118" s="26"/>
      <c r="I118" s="6"/>
      <c r="J118" s="26"/>
      <c r="K118" s="6"/>
      <c r="L118" s="26"/>
      <c r="M118" s="6"/>
      <c r="N118" s="96"/>
    </row>
    <row r="119" spans="2:14" x14ac:dyDescent="0.25">
      <c r="B119" s="43">
        <v>115</v>
      </c>
      <c r="C119" s="6" t="s">
        <v>512</v>
      </c>
      <c r="D119" s="97" t="s">
        <v>97</v>
      </c>
      <c r="E119" s="8">
        <v>5800</v>
      </c>
      <c r="F119" s="26"/>
      <c r="G119" s="6"/>
      <c r="H119" s="26"/>
      <c r="I119" s="6"/>
      <c r="J119" s="26"/>
      <c r="K119" s="6"/>
      <c r="L119" s="26"/>
      <c r="M119" s="6"/>
      <c r="N119" s="96"/>
    </row>
    <row r="120" spans="2:14" x14ac:dyDescent="0.25">
      <c r="B120" s="43">
        <v>116</v>
      </c>
      <c r="C120" s="6" t="s">
        <v>513</v>
      </c>
      <c r="D120" s="97" t="s">
        <v>98</v>
      </c>
      <c r="E120" s="8">
        <v>5150</v>
      </c>
      <c r="F120" s="26"/>
      <c r="G120" s="6"/>
      <c r="H120" s="26"/>
      <c r="I120" s="6"/>
      <c r="J120" s="26"/>
      <c r="K120" s="6"/>
      <c r="L120" s="26"/>
      <c r="M120" s="6"/>
      <c r="N120" s="96"/>
    </row>
    <row r="121" spans="2:14" x14ac:dyDescent="0.25">
      <c r="B121" s="43">
        <v>117</v>
      </c>
      <c r="C121" s="6" t="s">
        <v>514</v>
      </c>
      <c r="D121" s="97" t="s">
        <v>99</v>
      </c>
      <c r="E121" s="8">
        <v>5800</v>
      </c>
      <c r="F121" s="26"/>
      <c r="G121" s="6"/>
      <c r="H121" s="26"/>
      <c r="I121" s="6"/>
      <c r="J121" s="26"/>
      <c r="K121" s="6"/>
      <c r="L121" s="26"/>
      <c r="M121" s="6"/>
      <c r="N121" s="96"/>
    </row>
    <row r="122" spans="2:14" x14ac:dyDescent="0.25">
      <c r="B122" s="43">
        <v>118</v>
      </c>
      <c r="C122" s="6" t="s">
        <v>515</v>
      </c>
      <c r="D122" s="97" t="s">
        <v>100</v>
      </c>
      <c r="E122" s="8">
        <v>5800</v>
      </c>
      <c r="F122" s="26"/>
      <c r="G122" s="6"/>
      <c r="H122" s="26"/>
      <c r="I122" s="6"/>
      <c r="J122" s="26"/>
      <c r="K122" s="6"/>
      <c r="L122" s="26"/>
      <c r="M122" s="6"/>
      <c r="N122" s="96"/>
    </row>
    <row r="123" spans="2:14" x14ac:dyDescent="0.25">
      <c r="B123" s="43">
        <v>119</v>
      </c>
      <c r="C123" s="93"/>
      <c r="D123" s="97" t="s">
        <v>101</v>
      </c>
      <c r="E123" s="8">
        <v>60000</v>
      </c>
      <c r="F123" s="26"/>
      <c r="G123" s="6"/>
      <c r="H123" s="26"/>
      <c r="I123" s="6"/>
      <c r="J123" s="26"/>
      <c r="K123" s="6"/>
      <c r="L123" s="26"/>
      <c r="M123" s="6"/>
      <c r="N123" s="96"/>
    </row>
    <row r="124" spans="2:14" x14ac:dyDescent="0.25">
      <c r="B124" s="43">
        <v>120</v>
      </c>
      <c r="C124" s="93"/>
      <c r="D124" s="97" t="s">
        <v>102</v>
      </c>
      <c r="E124" s="8">
        <v>5800</v>
      </c>
      <c r="F124" s="26"/>
      <c r="G124" s="6"/>
      <c r="H124" s="26"/>
      <c r="I124" s="6"/>
      <c r="J124" s="26"/>
      <c r="K124" s="6"/>
      <c r="L124" s="26"/>
      <c r="M124" s="6"/>
      <c r="N124" s="96"/>
    </row>
    <row r="125" spans="2:14" x14ac:dyDescent="0.25">
      <c r="B125" s="43">
        <v>121</v>
      </c>
      <c r="C125" s="6" t="s">
        <v>818</v>
      </c>
      <c r="D125" s="97" t="s">
        <v>731</v>
      </c>
      <c r="E125" s="8">
        <v>17117</v>
      </c>
      <c r="F125" s="26"/>
      <c r="G125" s="8">
        <v>16216</v>
      </c>
      <c r="H125" s="26" t="s">
        <v>366</v>
      </c>
      <c r="I125" s="8">
        <v>13063</v>
      </c>
      <c r="J125" s="26" t="s">
        <v>368</v>
      </c>
      <c r="K125" s="98">
        <v>13063</v>
      </c>
      <c r="L125" s="99" t="s">
        <v>370</v>
      </c>
      <c r="M125" s="6"/>
      <c r="N125" s="96"/>
    </row>
    <row r="126" spans="2:14" x14ac:dyDescent="0.25">
      <c r="B126" s="43">
        <v>122</v>
      </c>
      <c r="C126" s="6" t="s">
        <v>517</v>
      </c>
      <c r="D126" s="97" t="s">
        <v>103</v>
      </c>
      <c r="E126" s="72">
        <v>2252</v>
      </c>
      <c r="F126" s="26"/>
      <c r="G126" s="6"/>
      <c r="H126" s="26" t="s">
        <v>366</v>
      </c>
      <c r="I126" s="8">
        <v>1900</v>
      </c>
      <c r="J126" s="26" t="s">
        <v>373</v>
      </c>
      <c r="K126" s="8">
        <v>2162</v>
      </c>
      <c r="L126" s="26" t="s">
        <v>370</v>
      </c>
      <c r="M126" s="8">
        <v>1900</v>
      </c>
      <c r="N126" s="96" t="s">
        <v>374</v>
      </c>
    </row>
    <row r="127" spans="2:14" x14ac:dyDescent="0.25">
      <c r="B127" s="43">
        <v>123</v>
      </c>
      <c r="C127" s="6" t="s">
        <v>518</v>
      </c>
      <c r="D127" s="97" t="s">
        <v>104</v>
      </c>
      <c r="E127" s="72">
        <v>3423</v>
      </c>
      <c r="F127" s="26"/>
      <c r="G127" s="6"/>
      <c r="H127" s="26" t="s">
        <v>366</v>
      </c>
      <c r="I127" s="8">
        <v>2900</v>
      </c>
      <c r="J127" s="26" t="s">
        <v>373</v>
      </c>
      <c r="K127" s="8">
        <v>3288</v>
      </c>
      <c r="L127" s="26" t="s">
        <v>370</v>
      </c>
      <c r="M127" s="8">
        <v>2900</v>
      </c>
      <c r="N127" s="96" t="s">
        <v>374</v>
      </c>
    </row>
    <row r="128" spans="2:14" x14ac:dyDescent="0.25">
      <c r="B128" s="43">
        <v>124</v>
      </c>
      <c r="C128" s="6" t="s">
        <v>519</v>
      </c>
      <c r="D128" s="97" t="s">
        <v>105</v>
      </c>
      <c r="E128" s="72">
        <v>5225.2299999999996</v>
      </c>
      <c r="F128" s="26"/>
      <c r="G128" s="8">
        <v>4505</v>
      </c>
      <c r="H128" s="26" t="s">
        <v>366</v>
      </c>
      <c r="I128" s="8">
        <v>3800</v>
      </c>
      <c r="J128" s="26" t="s">
        <v>373</v>
      </c>
      <c r="K128" s="8">
        <v>4324</v>
      </c>
      <c r="L128" s="26" t="s">
        <v>370</v>
      </c>
      <c r="M128" s="8">
        <v>3800</v>
      </c>
      <c r="N128" s="96" t="s">
        <v>374</v>
      </c>
    </row>
    <row r="129" spans="2:14" x14ac:dyDescent="0.25">
      <c r="B129" s="43">
        <v>125</v>
      </c>
      <c r="C129" s="6" t="s">
        <v>520</v>
      </c>
      <c r="D129" s="97" t="s">
        <v>106</v>
      </c>
      <c r="E129" s="72">
        <v>8108</v>
      </c>
      <c r="G129" s="6"/>
      <c r="H129" s="26" t="s">
        <v>375</v>
      </c>
      <c r="I129" s="6"/>
      <c r="J129" s="26"/>
      <c r="K129" s="6"/>
      <c r="L129" s="26"/>
      <c r="M129" s="6"/>
      <c r="N129" s="96"/>
    </row>
    <row r="130" spans="2:14" x14ac:dyDescent="0.25">
      <c r="B130" s="43">
        <v>126</v>
      </c>
      <c r="C130" s="6" t="s">
        <v>975</v>
      </c>
      <c r="D130" s="97" t="s">
        <v>107</v>
      </c>
      <c r="E130" s="72">
        <v>7400</v>
      </c>
      <c r="F130" s="26" t="s">
        <v>373</v>
      </c>
      <c r="G130" s="8"/>
      <c r="H130" s="26"/>
      <c r="I130" s="8">
        <v>7200</v>
      </c>
      <c r="J130" s="26" t="s">
        <v>376</v>
      </c>
      <c r="K130" s="8">
        <v>7748</v>
      </c>
      <c r="L130" s="26" t="s">
        <v>370</v>
      </c>
      <c r="M130" s="8">
        <v>7200</v>
      </c>
      <c r="N130" s="96" t="s">
        <v>374</v>
      </c>
    </row>
    <row r="131" spans="2:14" x14ac:dyDescent="0.25">
      <c r="B131" s="43">
        <v>127</v>
      </c>
      <c r="C131" s="6" t="s">
        <v>522</v>
      </c>
      <c r="D131" s="97" t="s">
        <v>108</v>
      </c>
      <c r="E131" s="72">
        <v>5600</v>
      </c>
      <c r="F131" s="26" t="s">
        <v>373</v>
      </c>
      <c r="G131" s="8"/>
      <c r="H131" s="26"/>
      <c r="I131" s="8">
        <v>5450</v>
      </c>
      <c r="J131" s="26" t="s">
        <v>376</v>
      </c>
      <c r="K131" s="8">
        <v>5676</v>
      </c>
      <c r="L131" s="26" t="s">
        <v>370</v>
      </c>
      <c r="M131" s="8">
        <v>5450</v>
      </c>
      <c r="N131" s="96" t="s">
        <v>374</v>
      </c>
    </row>
    <row r="132" spans="2:14" x14ac:dyDescent="0.25">
      <c r="B132" s="43">
        <v>128</v>
      </c>
      <c r="C132" s="6" t="s">
        <v>523</v>
      </c>
      <c r="D132" s="97" t="s">
        <v>109</v>
      </c>
      <c r="E132" s="72">
        <v>3700</v>
      </c>
      <c r="F132" s="26" t="s">
        <v>373</v>
      </c>
      <c r="G132" s="8"/>
      <c r="H132" s="26"/>
      <c r="I132" s="8">
        <v>3600</v>
      </c>
      <c r="J132" s="26" t="s">
        <v>376</v>
      </c>
      <c r="K132" s="8">
        <v>3874</v>
      </c>
      <c r="L132" s="26" t="s">
        <v>370</v>
      </c>
      <c r="M132" s="8">
        <v>3600</v>
      </c>
      <c r="N132" s="96" t="s">
        <v>374</v>
      </c>
    </row>
    <row r="133" spans="2:14" x14ac:dyDescent="0.25">
      <c r="B133" s="43">
        <v>129</v>
      </c>
      <c r="C133" s="6" t="s">
        <v>524</v>
      </c>
      <c r="D133" s="97" t="s">
        <v>110</v>
      </c>
      <c r="E133" s="72">
        <v>8640</v>
      </c>
      <c r="F133" s="26" t="s">
        <v>376</v>
      </c>
      <c r="G133" s="6"/>
      <c r="H133" s="26"/>
      <c r="I133" s="6"/>
      <c r="J133" s="26"/>
      <c r="K133" s="8">
        <v>8649</v>
      </c>
      <c r="L133" s="26" t="s">
        <v>370</v>
      </c>
      <c r="M133" s="8">
        <v>8540</v>
      </c>
      <c r="N133" s="96" t="s">
        <v>374</v>
      </c>
    </row>
    <row r="134" spans="2:14" x14ac:dyDescent="0.25">
      <c r="B134" s="43">
        <v>130</v>
      </c>
      <c r="C134" s="6" t="s">
        <v>525</v>
      </c>
      <c r="D134" s="97" t="s">
        <v>111</v>
      </c>
      <c r="E134" s="72">
        <v>6540</v>
      </c>
      <c r="F134" s="26" t="s">
        <v>376</v>
      </c>
      <c r="G134" s="6"/>
      <c r="H134" s="26"/>
      <c r="I134" s="6"/>
      <c r="J134" s="26"/>
      <c r="K134" s="8">
        <v>6577</v>
      </c>
      <c r="L134" s="26" t="s">
        <v>370</v>
      </c>
      <c r="M134" s="8">
        <v>6540</v>
      </c>
      <c r="N134" s="96" t="s">
        <v>374</v>
      </c>
    </row>
    <row r="135" spans="2:14" x14ac:dyDescent="0.25">
      <c r="B135" s="43">
        <v>131</v>
      </c>
      <c r="C135" s="6" t="s">
        <v>526</v>
      </c>
      <c r="D135" s="97" t="s">
        <v>112</v>
      </c>
      <c r="E135" s="72">
        <v>0</v>
      </c>
      <c r="F135" s="26"/>
      <c r="G135" s="6"/>
      <c r="H135" s="26"/>
      <c r="I135" s="6"/>
      <c r="J135" s="26"/>
      <c r="K135" s="8">
        <v>4324</v>
      </c>
      <c r="L135" s="26" t="s">
        <v>370</v>
      </c>
      <c r="M135" s="8">
        <v>4298</v>
      </c>
      <c r="N135" s="96" t="s">
        <v>374</v>
      </c>
    </row>
    <row r="136" spans="2:14" x14ac:dyDescent="0.25">
      <c r="B136" s="43">
        <v>132</v>
      </c>
      <c r="C136" s="6" t="s">
        <v>528</v>
      </c>
      <c r="D136" s="97" t="s">
        <v>113</v>
      </c>
      <c r="E136" s="72">
        <v>7200</v>
      </c>
      <c r="F136" s="26"/>
      <c r="G136" s="6"/>
      <c r="H136" s="26"/>
      <c r="I136" s="6"/>
      <c r="J136" s="26"/>
      <c r="K136" s="8">
        <v>7748</v>
      </c>
      <c r="L136" s="26" t="s">
        <v>370</v>
      </c>
      <c r="M136" s="8"/>
      <c r="N136" s="96"/>
    </row>
    <row r="137" spans="2:14" x14ac:dyDescent="0.25">
      <c r="B137" s="43">
        <v>133</v>
      </c>
      <c r="C137" s="6" t="s">
        <v>529</v>
      </c>
      <c r="D137" s="97" t="s">
        <v>413</v>
      </c>
      <c r="E137" s="72">
        <v>5600</v>
      </c>
      <c r="F137" s="26" t="s">
        <v>373</v>
      </c>
      <c r="G137" s="8">
        <v>5450</v>
      </c>
      <c r="H137" s="26" t="s">
        <v>376</v>
      </c>
      <c r="I137" s="8">
        <v>5676</v>
      </c>
      <c r="J137" s="26" t="s">
        <v>370</v>
      </c>
      <c r="K137" s="8">
        <v>5450</v>
      </c>
      <c r="L137" s="26" t="s">
        <v>374</v>
      </c>
      <c r="M137" s="8"/>
      <c r="N137" s="96"/>
    </row>
    <row r="138" spans="2:14" x14ac:dyDescent="0.25">
      <c r="B138" s="43">
        <v>134</v>
      </c>
      <c r="C138" s="100" t="s">
        <v>527</v>
      </c>
      <c r="D138" s="101" t="s">
        <v>412</v>
      </c>
      <c r="E138" s="102">
        <v>3800</v>
      </c>
      <c r="F138" s="103" t="s">
        <v>374</v>
      </c>
      <c r="G138" s="8">
        <v>4324</v>
      </c>
      <c r="H138" s="26" t="s">
        <v>370</v>
      </c>
      <c r="I138" s="6"/>
      <c r="J138" s="26"/>
      <c r="K138" s="8"/>
      <c r="L138" s="26"/>
      <c r="M138" s="6"/>
      <c r="N138" s="96"/>
    </row>
    <row r="139" spans="2:14" x14ac:dyDescent="0.25">
      <c r="B139" s="43">
        <v>135</v>
      </c>
      <c r="C139" s="6" t="s">
        <v>530</v>
      </c>
      <c r="D139" s="97" t="s">
        <v>414</v>
      </c>
      <c r="E139" s="8">
        <v>5600</v>
      </c>
      <c r="F139" s="99" t="s">
        <v>373</v>
      </c>
      <c r="G139" s="8">
        <v>5450</v>
      </c>
      <c r="H139" s="26" t="s">
        <v>376</v>
      </c>
      <c r="I139" s="8">
        <v>5676</v>
      </c>
      <c r="J139" s="26" t="s">
        <v>370</v>
      </c>
      <c r="K139" s="8">
        <v>5450</v>
      </c>
      <c r="L139" s="26" t="s">
        <v>374</v>
      </c>
      <c r="M139" s="6"/>
      <c r="N139" s="96"/>
    </row>
    <row r="140" spans="2:14" x14ac:dyDescent="0.25">
      <c r="B140" s="43">
        <v>136</v>
      </c>
      <c r="C140" s="6" t="s">
        <v>531</v>
      </c>
      <c r="D140" s="97" t="s">
        <v>415</v>
      </c>
      <c r="E140" s="8">
        <v>7400</v>
      </c>
      <c r="F140" s="99" t="s">
        <v>373</v>
      </c>
      <c r="G140" s="8">
        <v>7200</v>
      </c>
      <c r="H140" s="26" t="s">
        <v>376</v>
      </c>
      <c r="I140" s="8">
        <v>7748</v>
      </c>
      <c r="J140" s="26" t="s">
        <v>370</v>
      </c>
      <c r="K140" s="8">
        <v>7200</v>
      </c>
      <c r="L140" s="26" t="s">
        <v>374</v>
      </c>
      <c r="M140" s="6"/>
      <c r="N140" s="96"/>
    </row>
    <row r="141" spans="2:14" x14ac:dyDescent="0.25">
      <c r="B141" s="43">
        <v>137</v>
      </c>
      <c r="C141" s="6" t="s">
        <v>532</v>
      </c>
      <c r="D141" s="97" t="s">
        <v>114</v>
      </c>
      <c r="E141" s="8">
        <v>2252</v>
      </c>
      <c r="F141" s="26"/>
      <c r="G141" s="6"/>
      <c r="H141" s="26" t="s">
        <v>366</v>
      </c>
      <c r="I141" s="8">
        <v>1900</v>
      </c>
      <c r="J141" s="26" t="s">
        <v>373</v>
      </c>
      <c r="K141" s="6"/>
      <c r="L141" s="26"/>
      <c r="M141" s="6"/>
      <c r="N141" s="96"/>
    </row>
    <row r="142" spans="2:14" x14ac:dyDescent="0.25">
      <c r="B142" s="43">
        <v>138</v>
      </c>
      <c r="C142" s="6" t="s">
        <v>533</v>
      </c>
      <c r="D142" s="97" t="s">
        <v>115</v>
      </c>
      <c r="E142" s="8">
        <v>3423</v>
      </c>
      <c r="F142" s="26"/>
      <c r="G142" s="6"/>
      <c r="H142" s="26" t="s">
        <v>366</v>
      </c>
      <c r="I142" s="8">
        <v>2900</v>
      </c>
      <c r="J142" s="26" t="s">
        <v>373</v>
      </c>
      <c r="K142" s="6"/>
      <c r="L142" s="26"/>
      <c r="M142" s="6"/>
      <c r="N142" s="96"/>
    </row>
    <row r="143" spans="2:14" x14ac:dyDescent="0.25">
      <c r="B143" s="43">
        <v>139</v>
      </c>
      <c r="C143" s="6" t="s">
        <v>534</v>
      </c>
      <c r="D143" s="97" t="s">
        <v>116</v>
      </c>
      <c r="E143" s="8">
        <v>4505</v>
      </c>
      <c r="F143" s="26"/>
      <c r="G143" s="6"/>
      <c r="H143" s="26" t="s">
        <v>366</v>
      </c>
      <c r="I143" s="8">
        <v>3800</v>
      </c>
      <c r="J143" s="26" t="s">
        <v>373</v>
      </c>
      <c r="K143" s="6"/>
      <c r="L143" s="26"/>
      <c r="M143" s="6"/>
      <c r="N143" s="96"/>
    </row>
    <row r="144" spans="2:14" x14ac:dyDescent="0.25">
      <c r="B144" s="43">
        <v>140</v>
      </c>
      <c r="C144" s="6" t="s">
        <v>697</v>
      </c>
      <c r="D144" s="97" t="s">
        <v>117</v>
      </c>
      <c r="E144" s="8">
        <v>1441</v>
      </c>
      <c r="F144" s="26"/>
      <c r="G144" s="6"/>
      <c r="H144" s="26" t="s">
        <v>366</v>
      </c>
      <c r="I144" s="6"/>
      <c r="J144" s="26"/>
      <c r="K144" s="8">
        <v>1441</v>
      </c>
      <c r="L144" s="26" t="s">
        <v>370</v>
      </c>
      <c r="M144" s="6"/>
      <c r="N144" s="96"/>
    </row>
    <row r="145" spans="2:14" x14ac:dyDescent="0.25">
      <c r="B145" s="43">
        <v>141</v>
      </c>
      <c r="C145" s="6" t="s">
        <v>696</v>
      </c>
      <c r="D145" s="97" t="s">
        <v>118</v>
      </c>
      <c r="E145" s="8">
        <v>2703</v>
      </c>
      <c r="F145" s="26"/>
      <c r="G145" s="6"/>
      <c r="H145" s="26" t="s">
        <v>377</v>
      </c>
      <c r="I145" s="6"/>
      <c r="J145" s="26"/>
      <c r="K145" s="8">
        <v>2703</v>
      </c>
      <c r="L145" s="26" t="s">
        <v>370</v>
      </c>
      <c r="M145" s="6"/>
      <c r="N145" s="96"/>
    </row>
    <row r="146" spans="2:14" x14ac:dyDescent="0.25">
      <c r="B146" s="43">
        <v>142</v>
      </c>
      <c r="C146" s="6" t="s">
        <v>698</v>
      </c>
      <c r="D146" s="97" t="s">
        <v>119</v>
      </c>
      <c r="E146" s="8">
        <v>5405</v>
      </c>
      <c r="F146" s="26"/>
      <c r="G146" s="6"/>
      <c r="H146" s="26" t="s">
        <v>366</v>
      </c>
      <c r="I146" s="6"/>
      <c r="J146" s="26"/>
      <c r="K146" s="8">
        <v>5405</v>
      </c>
      <c r="L146" s="26" t="s">
        <v>370</v>
      </c>
      <c r="M146" s="6"/>
      <c r="N146" s="96"/>
    </row>
    <row r="147" spans="2:14" x14ac:dyDescent="0.25">
      <c r="B147" s="43">
        <v>143</v>
      </c>
      <c r="C147" s="6" t="s">
        <v>777</v>
      </c>
      <c r="D147" s="97" t="s">
        <v>120</v>
      </c>
      <c r="E147" s="8">
        <v>721</v>
      </c>
      <c r="F147" s="26" t="s">
        <v>366</v>
      </c>
      <c r="G147" s="8">
        <v>586</v>
      </c>
      <c r="H147" s="26" t="s">
        <v>378</v>
      </c>
      <c r="I147" s="8">
        <v>721</v>
      </c>
      <c r="J147" s="26" t="s">
        <v>370</v>
      </c>
      <c r="K147" s="8"/>
      <c r="L147" s="26"/>
      <c r="M147" s="6"/>
      <c r="N147" s="96"/>
    </row>
    <row r="148" spans="2:14" x14ac:dyDescent="0.25">
      <c r="B148" s="43">
        <v>144</v>
      </c>
      <c r="C148" s="6" t="s">
        <v>694</v>
      </c>
      <c r="D148" s="97" t="s">
        <v>121</v>
      </c>
      <c r="E148" s="8">
        <v>1081</v>
      </c>
      <c r="F148" s="26" t="s">
        <v>366</v>
      </c>
      <c r="G148" s="8">
        <v>721</v>
      </c>
      <c r="H148" s="26" t="s">
        <v>378</v>
      </c>
      <c r="I148" s="8">
        <v>1081</v>
      </c>
      <c r="J148" s="26" t="s">
        <v>370</v>
      </c>
      <c r="K148" s="8"/>
      <c r="L148" s="26"/>
      <c r="M148" s="6"/>
      <c r="N148" s="96"/>
    </row>
    <row r="149" spans="2:14" x14ac:dyDescent="0.25">
      <c r="B149" s="43">
        <v>145</v>
      </c>
      <c r="C149" s="6" t="s">
        <v>693</v>
      </c>
      <c r="D149" s="97" t="s">
        <v>122</v>
      </c>
      <c r="E149" s="8">
        <v>2072</v>
      </c>
      <c r="F149" s="26" t="s">
        <v>366</v>
      </c>
      <c r="G149" s="8">
        <v>1622</v>
      </c>
      <c r="H149" s="26" t="s">
        <v>378</v>
      </c>
      <c r="I149" s="8">
        <v>2072</v>
      </c>
      <c r="J149" s="26" t="s">
        <v>370</v>
      </c>
      <c r="K149" s="8"/>
      <c r="L149" s="26"/>
      <c r="M149" s="6"/>
      <c r="N149" s="96"/>
    </row>
    <row r="150" spans="2:14" x14ac:dyDescent="0.25">
      <c r="B150" s="43">
        <v>146</v>
      </c>
      <c r="C150" s="6" t="s">
        <v>695</v>
      </c>
      <c r="D150" s="97" t="s">
        <v>123</v>
      </c>
      <c r="E150" s="8">
        <v>4144</v>
      </c>
      <c r="F150" s="26" t="s">
        <v>366</v>
      </c>
      <c r="G150" s="8">
        <v>3423</v>
      </c>
      <c r="H150" s="26" t="s">
        <v>378</v>
      </c>
      <c r="I150" s="8">
        <v>4144</v>
      </c>
      <c r="J150" s="26" t="s">
        <v>370</v>
      </c>
      <c r="K150" s="8"/>
      <c r="L150" s="26"/>
      <c r="M150" s="6"/>
      <c r="N150" s="96"/>
    </row>
    <row r="151" spans="2:14" x14ac:dyDescent="0.25">
      <c r="B151" s="43">
        <v>147</v>
      </c>
      <c r="C151" s="6" t="s">
        <v>536</v>
      </c>
      <c r="D151" s="97" t="s">
        <v>124</v>
      </c>
      <c r="E151" s="72"/>
      <c r="F151" s="26"/>
      <c r="G151" s="6"/>
      <c r="H151" s="26"/>
      <c r="I151" s="8">
        <v>811</v>
      </c>
      <c r="J151" s="26" t="s">
        <v>370</v>
      </c>
      <c r="K151" s="8"/>
      <c r="L151" s="26"/>
      <c r="M151" s="6"/>
      <c r="N151" s="96"/>
    </row>
    <row r="152" spans="2:14" x14ac:dyDescent="0.25">
      <c r="B152" s="43">
        <v>148</v>
      </c>
      <c r="C152" s="6" t="s">
        <v>779</v>
      </c>
      <c r="D152" s="97" t="s">
        <v>125</v>
      </c>
      <c r="E152" s="72">
        <f>ROUND((1400/1.11),0)</f>
        <v>1261</v>
      </c>
      <c r="F152" s="26"/>
      <c r="G152" s="42"/>
      <c r="H152" s="99" t="s">
        <v>366</v>
      </c>
      <c r="I152" s="8">
        <v>1261</v>
      </c>
      <c r="J152" s="26" t="s">
        <v>370</v>
      </c>
      <c r="K152" s="8"/>
      <c r="L152" s="26"/>
      <c r="M152" s="6"/>
      <c r="N152" s="96"/>
    </row>
    <row r="153" spans="2:14" x14ac:dyDescent="0.25">
      <c r="B153" s="43">
        <v>149</v>
      </c>
      <c r="C153" s="6" t="s">
        <v>706</v>
      </c>
      <c r="D153" s="97" t="s">
        <v>126</v>
      </c>
      <c r="E153" s="72">
        <v>2433</v>
      </c>
      <c r="F153" s="26"/>
      <c r="G153" s="32">
        <f>ROUND((2600/1.11),0)</f>
        <v>2342</v>
      </c>
      <c r="H153" s="99" t="s">
        <v>379</v>
      </c>
      <c r="I153" s="8">
        <v>2342</v>
      </c>
      <c r="J153" s="26" t="s">
        <v>370</v>
      </c>
      <c r="K153" s="8"/>
      <c r="L153" s="26"/>
      <c r="M153" s="6"/>
      <c r="N153" s="96"/>
    </row>
    <row r="154" spans="2:14" x14ac:dyDescent="0.25">
      <c r="B154" s="43">
        <v>150</v>
      </c>
      <c r="C154" s="6" t="s">
        <v>831</v>
      </c>
      <c r="D154" s="97" t="s">
        <v>127</v>
      </c>
      <c r="E154" s="72">
        <v>4866</v>
      </c>
      <c r="F154" s="26"/>
      <c r="G154" s="32">
        <f>ROUND((5200/1.11),0)</f>
        <v>4685</v>
      </c>
      <c r="H154" s="99" t="s">
        <v>379</v>
      </c>
      <c r="I154" s="8">
        <v>4685</v>
      </c>
      <c r="J154" s="26" t="s">
        <v>370</v>
      </c>
      <c r="K154" s="8"/>
      <c r="L154" s="26"/>
      <c r="M154" s="6"/>
      <c r="N154" s="96"/>
    </row>
    <row r="155" spans="2:14" x14ac:dyDescent="0.25">
      <c r="B155" s="43">
        <v>151</v>
      </c>
      <c r="C155" s="6" t="s">
        <v>539</v>
      </c>
      <c r="D155" s="97" t="s">
        <v>128</v>
      </c>
      <c r="E155" s="72">
        <v>3063</v>
      </c>
      <c r="F155" s="26"/>
      <c r="G155" s="32"/>
      <c r="H155" s="99" t="s">
        <v>366</v>
      </c>
      <c r="I155" s="8">
        <v>3063</v>
      </c>
      <c r="J155" s="26" t="s">
        <v>370</v>
      </c>
      <c r="K155" s="8"/>
      <c r="L155" s="26"/>
      <c r="M155" s="6"/>
      <c r="N155" s="96"/>
    </row>
    <row r="156" spans="2:14" x14ac:dyDescent="0.25">
      <c r="B156" s="43">
        <v>152</v>
      </c>
      <c r="C156" s="6" t="s">
        <v>540</v>
      </c>
      <c r="D156" s="97" t="s">
        <v>129</v>
      </c>
      <c r="E156" s="72">
        <v>1532</v>
      </c>
      <c r="F156" s="26"/>
      <c r="G156" s="32"/>
      <c r="H156" s="99" t="s">
        <v>366</v>
      </c>
      <c r="I156" s="8">
        <v>1532</v>
      </c>
      <c r="J156" s="26" t="s">
        <v>370</v>
      </c>
      <c r="K156" s="8"/>
      <c r="L156" s="26"/>
      <c r="M156" s="6"/>
      <c r="N156" s="96"/>
    </row>
    <row r="157" spans="2:14" x14ac:dyDescent="0.25">
      <c r="B157" s="43">
        <v>153</v>
      </c>
      <c r="C157" s="6" t="s">
        <v>778</v>
      </c>
      <c r="D157" s="97" t="s">
        <v>130</v>
      </c>
      <c r="E157" s="72">
        <v>2800</v>
      </c>
      <c r="F157" s="104" t="s">
        <v>380</v>
      </c>
      <c r="G157" s="32"/>
      <c r="H157" s="99"/>
      <c r="I157" s="8"/>
      <c r="J157" s="26"/>
      <c r="K157" s="6"/>
      <c r="L157" s="26"/>
      <c r="M157" s="6"/>
      <c r="N157" s="96"/>
    </row>
    <row r="158" spans="2:14" x14ac:dyDescent="0.25">
      <c r="B158" s="43">
        <v>154</v>
      </c>
      <c r="C158" s="6" t="s">
        <v>780</v>
      </c>
      <c r="D158" s="97" t="s">
        <v>131</v>
      </c>
      <c r="E158" s="8">
        <v>4685</v>
      </c>
      <c r="F158" s="26"/>
      <c r="G158" s="32">
        <v>4000</v>
      </c>
      <c r="H158" s="99" t="s">
        <v>381</v>
      </c>
      <c r="I158" s="8">
        <v>4144</v>
      </c>
      <c r="J158" s="26" t="s">
        <v>370</v>
      </c>
      <c r="K158" s="6"/>
      <c r="L158" s="26"/>
      <c r="M158" s="6"/>
      <c r="N158" s="96"/>
    </row>
    <row r="159" spans="2:14" x14ac:dyDescent="0.25">
      <c r="B159" s="43">
        <v>155</v>
      </c>
      <c r="C159" s="6" t="s">
        <v>544</v>
      </c>
      <c r="D159" s="97" t="s">
        <v>132</v>
      </c>
      <c r="E159" s="8">
        <v>0</v>
      </c>
      <c r="F159" s="26"/>
      <c r="G159" s="42"/>
      <c r="H159" s="99"/>
      <c r="I159" s="8">
        <v>5045</v>
      </c>
      <c r="J159" s="26" t="s">
        <v>370</v>
      </c>
      <c r="K159" s="8">
        <v>5200</v>
      </c>
      <c r="L159" s="26" t="s">
        <v>382</v>
      </c>
      <c r="M159" s="6"/>
      <c r="N159" s="96"/>
    </row>
    <row r="160" spans="2:14" x14ac:dyDescent="0.25">
      <c r="B160" s="43">
        <v>156</v>
      </c>
      <c r="C160" s="6" t="s">
        <v>782</v>
      </c>
      <c r="D160" s="97" t="s">
        <v>133</v>
      </c>
      <c r="E160" s="8">
        <v>0</v>
      </c>
      <c r="F160" s="26"/>
      <c r="G160" s="42"/>
      <c r="H160" s="99"/>
      <c r="I160" s="8">
        <v>5200</v>
      </c>
      <c r="J160" s="26" t="s">
        <v>382</v>
      </c>
      <c r="K160" s="6"/>
      <c r="L160" s="26"/>
      <c r="M160" s="6"/>
      <c r="N160" s="96"/>
    </row>
    <row r="161" spans="2:14" x14ac:dyDescent="0.25">
      <c r="B161" s="43">
        <v>157</v>
      </c>
      <c r="C161" s="6" t="s">
        <v>781</v>
      </c>
      <c r="D161" s="97" t="s">
        <v>134</v>
      </c>
      <c r="E161" s="8">
        <v>4955</v>
      </c>
      <c r="F161" s="26"/>
      <c r="G161" s="32">
        <v>4000</v>
      </c>
      <c r="H161" s="99" t="s">
        <v>381</v>
      </c>
      <c r="I161" s="8">
        <v>4144</v>
      </c>
      <c r="J161" s="26" t="s">
        <v>370</v>
      </c>
      <c r="K161" s="6"/>
      <c r="L161" s="26"/>
      <c r="M161" s="6"/>
      <c r="N161" s="96"/>
    </row>
    <row r="162" spans="2:14" x14ac:dyDescent="0.25">
      <c r="B162" s="43">
        <v>158</v>
      </c>
      <c r="C162" s="6" t="s">
        <v>832</v>
      </c>
      <c r="D162" s="97" t="s">
        <v>135</v>
      </c>
      <c r="E162" s="8">
        <v>0</v>
      </c>
      <c r="F162" s="26"/>
      <c r="G162" s="32"/>
      <c r="H162" s="99"/>
      <c r="I162" s="105">
        <v>5045</v>
      </c>
      <c r="J162" s="99" t="s">
        <v>370</v>
      </c>
      <c r="K162" s="105">
        <v>5200</v>
      </c>
      <c r="L162" s="99" t="s">
        <v>382</v>
      </c>
      <c r="M162" s="6"/>
      <c r="N162" s="96"/>
    </row>
    <row r="163" spans="2:14" x14ac:dyDescent="0.25">
      <c r="B163" s="43">
        <v>159</v>
      </c>
      <c r="C163" s="43" t="s">
        <v>774</v>
      </c>
      <c r="D163" s="97" t="s">
        <v>136</v>
      </c>
      <c r="E163" s="18">
        <v>1622</v>
      </c>
      <c r="F163" s="99" t="s">
        <v>366</v>
      </c>
      <c r="G163" s="8">
        <v>1622</v>
      </c>
      <c r="H163" s="26" t="s">
        <v>370</v>
      </c>
      <c r="I163" s="6"/>
      <c r="J163" s="26"/>
      <c r="K163" s="6"/>
      <c r="L163" s="26"/>
      <c r="M163" s="6"/>
      <c r="N163" s="96"/>
    </row>
    <row r="164" spans="2:14" x14ac:dyDescent="0.25">
      <c r="B164" s="43">
        <v>160</v>
      </c>
      <c r="C164" s="43" t="s">
        <v>1002</v>
      </c>
      <c r="D164" s="97" t="s">
        <v>137</v>
      </c>
      <c r="E164" s="18">
        <v>991</v>
      </c>
      <c r="F164" s="99" t="s">
        <v>366</v>
      </c>
      <c r="G164" s="8">
        <v>991</v>
      </c>
      <c r="H164" s="26" t="s">
        <v>370</v>
      </c>
      <c r="I164" s="6"/>
      <c r="J164" s="26"/>
      <c r="K164" s="6"/>
      <c r="L164" s="26"/>
      <c r="M164" s="6"/>
      <c r="N164" s="96"/>
    </row>
    <row r="165" spans="2:14" x14ac:dyDescent="0.25">
      <c r="B165" s="43">
        <v>161</v>
      </c>
      <c r="C165" s="43" t="s">
        <v>746</v>
      </c>
      <c r="D165" s="97" t="s">
        <v>138</v>
      </c>
      <c r="E165" s="18">
        <v>0</v>
      </c>
      <c r="F165" s="26"/>
      <c r="G165" s="8">
        <v>2342</v>
      </c>
      <c r="H165" s="26" t="s">
        <v>370</v>
      </c>
      <c r="I165" s="6"/>
      <c r="J165" s="26"/>
      <c r="K165" s="6"/>
      <c r="L165" s="26"/>
      <c r="M165" s="6"/>
      <c r="N165" s="96"/>
    </row>
    <row r="166" spans="2:14" x14ac:dyDescent="0.25">
      <c r="B166" s="43">
        <v>162</v>
      </c>
      <c r="C166" s="43" t="s">
        <v>745</v>
      </c>
      <c r="D166" s="97" t="s">
        <v>139</v>
      </c>
      <c r="E166" s="18">
        <v>0</v>
      </c>
      <c r="F166" s="26"/>
      <c r="G166" s="8">
        <v>1171</v>
      </c>
      <c r="H166" s="26" t="s">
        <v>370</v>
      </c>
      <c r="I166" s="6"/>
      <c r="J166" s="26"/>
      <c r="K166" s="6"/>
      <c r="L166" s="26"/>
      <c r="M166" s="6"/>
      <c r="N166" s="96"/>
    </row>
    <row r="167" spans="2:14" x14ac:dyDescent="0.25">
      <c r="B167" s="43">
        <v>163</v>
      </c>
      <c r="C167" s="93"/>
      <c r="D167" s="97" t="s">
        <v>140</v>
      </c>
      <c r="E167" s="8">
        <v>6400</v>
      </c>
      <c r="F167" s="99" t="s">
        <v>348</v>
      </c>
      <c r="G167" s="6"/>
      <c r="H167" s="26"/>
      <c r="I167" s="6"/>
      <c r="J167" s="26"/>
      <c r="K167" s="6"/>
      <c r="L167" s="26"/>
      <c r="M167" s="6"/>
      <c r="N167" s="96"/>
    </row>
    <row r="168" spans="2:14" x14ac:dyDescent="0.25">
      <c r="B168" s="43">
        <v>164</v>
      </c>
      <c r="C168" s="6" t="s">
        <v>548</v>
      </c>
      <c r="D168" s="97" t="s">
        <v>141</v>
      </c>
      <c r="E168" s="8">
        <v>11000</v>
      </c>
      <c r="F168" s="87"/>
      <c r="G168" s="6"/>
      <c r="H168" s="26"/>
      <c r="I168" s="6"/>
      <c r="J168" s="26"/>
      <c r="K168" s="6"/>
      <c r="L168" s="26"/>
      <c r="M168" s="6"/>
      <c r="N168" s="96"/>
    </row>
    <row r="169" spans="2:14" x14ac:dyDescent="0.25">
      <c r="B169" s="43">
        <v>165</v>
      </c>
      <c r="C169" s="6" t="s">
        <v>551</v>
      </c>
      <c r="D169" s="97" t="s">
        <v>142</v>
      </c>
      <c r="E169" s="8">
        <v>4000</v>
      </c>
      <c r="F169" s="99" t="s">
        <v>383</v>
      </c>
      <c r="G169" s="6"/>
      <c r="H169" s="26"/>
      <c r="I169" s="6"/>
      <c r="J169" s="26"/>
      <c r="K169" s="6"/>
      <c r="L169" s="26"/>
      <c r="M169" s="6"/>
      <c r="N169" s="96"/>
    </row>
    <row r="170" spans="2:14" x14ac:dyDescent="0.25">
      <c r="B170" s="43">
        <v>166</v>
      </c>
      <c r="C170" s="6" t="s">
        <v>552</v>
      </c>
      <c r="D170" s="97" t="s">
        <v>143</v>
      </c>
      <c r="E170" s="8">
        <v>2000</v>
      </c>
      <c r="F170" s="99" t="s">
        <v>383</v>
      </c>
      <c r="G170" s="6"/>
      <c r="H170" s="26"/>
      <c r="I170" s="6"/>
      <c r="J170" s="26"/>
      <c r="K170" s="6"/>
      <c r="L170" s="26"/>
      <c r="M170" s="6"/>
      <c r="N170" s="96"/>
    </row>
    <row r="171" spans="2:14" x14ac:dyDescent="0.25">
      <c r="B171" s="43">
        <v>167</v>
      </c>
      <c r="C171" s="6" t="s">
        <v>825</v>
      </c>
      <c r="D171" s="97" t="s">
        <v>823</v>
      </c>
      <c r="E171" s="8">
        <v>3170</v>
      </c>
      <c r="F171" s="26"/>
      <c r="G171" s="6"/>
      <c r="H171" s="26"/>
      <c r="I171" s="6"/>
      <c r="J171" s="26"/>
      <c r="K171" s="6"/>
      <c r="L171" s="26"/>
      <c r="M171" s="6"/>
      <c r="N171" s="96"/>
    </row>
    <row r="172" spans="2:14" x14ac:dyDescent="0.25">
      <c r="B172" s="43">
        <v>168</v>
      </c>
      <c r="C172" s="6" t="s">
        <v>826</v>
      </c>
      <c r="D172" s="97" t="s">
        <v>824</v>
      </c>
      <c r="E172" s="8">
        <v>5260</v>
      </c>
      <c r="F172" s="26"/>
      <c r="G172" s="6"/>
      <c r="H172" s="26"/>
      <c r="I172" s="6"/>
      <c r="J172" s="26"/>
      <c r="K172" s="6"/>
      <c r="L172" s="26"/>
      <c r="M172" s="6"/>
      <c r="N172" s="96"/>
    </row>
    <row r="173" spans="2:14" x14ac:dyDescent="0.25">
      <c r="B173" s="43">
        <v>169</v>
      </c>
      <c r="C173" s="6" t="s">
        <v>553</v>
      </c>
      <c r="D173" s="97" t="s">
        <v>145</v>
      </c>
      <c r="E173" s="8">
        <v>3150</v>
      </c>
      <c r="F173" s="99" t="s">
        <v>384</v>
      </c>
      <c r="G173" s="6"/>
      <c r="H173" s="26"/>
      <c r="I173" s="6"/>
      <c r="J173" s="26"/>
      <c r="K173" s="6"/>
      <c r="L173" s="26"/>
      <c r="M173" s="6"/>
      <c r="N173" s="96"/>
    </row>
    <row r="174" spans="2:14" x14ac:dyDescent="0.25">
      <c r="B174" s="43">
        <v>170</v>
      </c>
      <c r="C174" s="6" t="s">
        <v>554</v>
      </c>
      <c r="D174" s="97" t="s">
        <v>146</v>
      </c>
      <c r="E174" s="8">
        <v>6000</v>
      </c>
      <c r="F174" s="87"/>
      <c r="G174" s="6"/>
      <c r="H174" s="26"/>
      <c r="I174" s="6"/>
      <c r="J174" s="26"/>
      <c r="K174" s="6"/>
      <c r="L174" s="26"/>
      <c r="M174" s="6"/>
      <c r="N174" s="96"/>
    </row>
    <row r="175" spans="2:14" x14ac:dyDescent="0.25">
      <c r="B175" s="43">
        <v>171</v>
      </c>
      <c r="C175" s="6" t="s">
        <v>555</v>
      </c>
      <c r="D175" s="97" t="s">
        <v>713</v>
      </c>
      <c r="E175" s="8">
        <v>1600</v>
      </c>
      <c r="F175" s="26"/>
      <c r="G175" s="6"/>
      <c r="H175" s="26"/>
      <c r="I175" s="6"/>
      <c r="J175" s="26"/>
      <c r="K175" s="6"/>
      <c r="L175" s="26"/>
      <c r="M175" s="6"/>
      <c r="N175" s="96"/>
    </row>
    <row r="176" spans="2:14" x14ac:dyDescent="0.25">
      <c r="B176" s="43">
        <v>172</v>
      </c>
      <c r="C176" s="6" t="s">
        <v>553</v>
      </c>
      <c r="D176" s="97" t="s">
        <v>147</v>
      </c>
      <c r="E176" s="8">
        <v>3000</v>
      </c>
      <c r="F176" s="26"/>
      <c r="G176" s="6"/>
      <c r="H176" s="26"/>
      <c r="I176" s="6"/>
      <c r="J176" s="26"/>
      <c r="K176" s="6"/>
      <c r="L176" s="26"/>
      <c r="M176" s="6"/>
      <c r="N176" s="96"/>
    </row>
    <row r="177" spans="2:14" x14ac:dyDescent="0.25">
      <c r="B177" s="43">
        <v>173</v>
      </c>
      <c r="C177" s="6" t="s">
        <v>553</v>
      </c>
      <c r="D177" s="97" t="s">
        <v>148</v>
      </c>
      <c r="E177" s="8">
        <v>3000</v>
      </c>
      <c r="F177" s="26"/>
      <c r="G177" s="6"/>
      <c r="H177" s="26"/>
      <c r="I177" s="6"/>
      <c r="J177" s="26"/>
      <c r="K177" s="6"/>
      <c r="L177" s="26"/>
      <c r="M177" s="6"/>
      <c r="N177" s="96"/>
    </row>
    <row r="178" spans="2:14" x14ac:dyDescent="0.25">
      <c r="B178" s="43">
        <v>174</v>
      </c>
      <c r="C178" s="6" t="s">
        <v>556</v>
      </c>
      <c r="D178" s="97" t="s">
        <v>149</v>
      </c>
      <c r="E178" s="8">
        <v>5250</v>
      </c>
      <c r="F178" s="26" t="s">
        <v>352</v>
      </c>
      <c r="G178" s="6"/>
      <c r="H178" s="26"/>
      <c r="I178" s="6"/>
      <c r="J178" s="26"/>
      <c r="K178" s="6"/>
      <c r="L178" s="26"/>
      <c r="M178" s="6"/>
      <c r="N178" s="96"/>
    </row>
    <row r="179" spans="2:14" x14ac:dyDescent="0.25">
      <c r="B179" s="43">
        <v>175</v>
      </c>
      <c r="C179" s="6" t="s">
        <v>557</v>
      </c>
      <c r="D179" s="97" t="s">
        <v>150</v>
      </c>
      <c r="E179" s="8">
        <v>5000</v>
      </c>
      <c r="F179" s="26" t="s">
        <v>352</v>
      </c>
      <c r="G179" s="6"/>
      <c r="H179" s="26"/>
      <c r="I179" s="6"/>
      <c r="J179" s="26"/>
      <c r="K179" s="6"/>
      <c r="L179" s="26"/>
      <c r="M179" s="6"/>
      <c r="N179" s="96"/>
    </row>
    <row r="180" spans="2:14" x14ac:dyDescent="0.25">
      <c r="B180" s="43">
        <v>176</v>
      </c>
      <c r="C180" s="6" t="s">
        <v>558</v>
      </c>
      <c r="D180" s="97" t="s">
        <v>151</v>
      </c>
      <c r="E180" s="8">
        <v>2500</v>
      </c>
      <c r="F180" s="26" t="s">
        <v>352</v>
      </c>
      <c r="G180" s="6"/>
      <c r="H180" s="26"/>
      <c r="I180" s="6"/>
      <c r="J180" s="26"/>
      <c r="K180" s="6"/>
      <c r="L180" s="26"/>
      <c r="M180" s="6"/>
      <c r="N180" s="96"/>
    </row>
    <row r="181" spans="2:14" s="50" customFormat="1" x14ac:dyDescent="0.25">
      <c r="B181" s="43">
        <v>177</v>
      </c>
      <c r="C181" s="43" t="s">
        <v>725</v>
      </c>
      <c r="D181" s="94" t="s">
        <v>726</v>
      </c>
      <c r="E181" s="95">
        <v>2850</v>
      </c>
      <c r="F181" s="91" t="s">
        <v>717</v>
      </c>
      <c r="G181" s="43"/>
      <c r="H181" s="91"/>
      <c r="I181" s="43"/>
      <c r="J181" s="91"/>
      <c r="K181" s="43"/>
      <c r="L181" s="91"/>
      <c r="M181" s="43"/>
      <c r="N181" s="92"/>
    </row>
    <row r="182" spans="2:14" x14ac:dyDescent="0.25">
      <c r="B182" s="43">
        <v>178</v>
      </c>
      <c r="C182" s="6" t="s">
        <v>559</v>
      </c>
      <c r="D182" s="97" t="s">
        <v>152</v>
      </c>
      <c r="E182" s="8">
        <v>2500</v>
      </c>
      <c r="F182" s="26"/>
      <c r="G182" s="6"/>
      <c r="H182" s="26"/>
      <c r="I182" s="6"/>
      <c r="J182" s="26"/>
      <c r="K182" s="6"/>
      <c r="L182" s="26"/>
      <c r="M182" s="6"/>
      <c r="N182" s="96"/>
    </row>
    <row r="183" spans="2:14" x14ac:dyDescent="0.25">
      <c r="B183" s="43">
        <v>179</v>
      </c>
      <c r="C183" s="6" t="s">
        <v>560</v>
      </c>
      <c r="D183" s="97" t="s">
        <v>153</v>
      </c>
      <c r="E183" s="8">
        <v>5000</v>
      </c>
      <c r="F183" s="26"/>
      <c r="G183" s="6"/>
      <c r="H183" s="26"/>
      <c r="I183" s="6"/>
      <c r="J183" s="26"/>
      <c r="K183" s="6"/>
      <c r="L183" s="26"/>
      <c r="M183" s="6"/>
      <c r="N183" s="96"/>
    </row>
    <row r="184" spans="2:14" x14ac:dyDescent="0.25">
      <c r="B184" s="43">
        <v>180</v>
      </c>
      <c r="C184" s="6" t="s">
        <v>561</v>
      </c>
      <c r="D184" s="97" t="s">
        <v>154</v>
      </c>
      <c r="E184" s="8">
        <v>3150</v>
      </c>
      <c r="F184" s="26"/>
      <c r="G184" s="6"/>
      <c r="H184" s="26"/>
      <c r="I184" s="6"/>
      <c r="J184" s="26"/>
      <c r="K184" s="6"/>
      <c r="L184" s="26"/>
      <c r="M184" s="6"/>
      <c r="N184" s="96"/>
    </row>
    <row r="185" spans="2:14" x14ac:dyDescent="0.25">
      <c r="B185" s="43">
        <v>181</v>
      </c>
      <c r="C185" s="6" t="s">
        <v>562</v>
      </c>
      <c r="D185" s="97" t="s">
        <v>155</v>
      </c>
      <c r="E185" s="8">
        <v>6300</v>
      </c>
      <c r="F185" s="26"/>
      <c r="G185" s="6"/>
      <c r="H185" s="26"/>
      <c r="I185" s="6"/>
      <c r="J185" s="26"/>
      <c r="K185" s="6"/>
      <c r="L185" s="26"/>
      <c r="M185" s="6"/>
      <c r="N185" s="96"/>
    </row>
    <row r="186" spans="2:14" x14ac:dyDescent="0.25">
      <c r="B186" s="43">
        <v>182</v>
      </c>
      <c r="C186" s="6" t="s">
        <v>550</v>
      </c>
      <c r="D186" s="97" t="s">
        <v>156</v>
      </c>
      <c r="E186" s="8">
        <v>5250</v>
      </c>
      <c r="F186" s="26"/>
      <c r="G186" s="6"/>
      <c r="H186" s="26"/>
      <c r="I186" s="6"/>
      <c r="J186" s="26"/>
      <c r="K186" s="6"/>
      <c r="L186" s="26"/>
      <c r="M186" s="6"/>
      <c r="N186" s="96"/>
    </row>
    <row r="187" spans="2:14" x14ac:dyDescent="0.25">
      <c r="B187" s="43">
        <v>183</v>
      </c>
      <c r="C187" s="6" t="s">
        <v>564</v>
      </c>
      <c r="D187" s="97" t="s">
        <v>157</v>
      </c>
      <c r="E187" s="8">
        <v>1250</v>
      </c>
      <c r="F187" s="26"/>
      <c r="G187" s="6"/>
      <c r="H187" s="26"/>
      <c r="I187" s="6"/>
      <c r="J187" s="26"/>
      <c r="K187" s="6"/>
      <c r="L187" s="26"/>
      <c r="M187" s="6"/>
      <c r="N187" s="96"/>
    </row>
    <row r="188" spans="2:14" x14ac:dyDescent="0.25">
      <c r="B188" s="43">
        <v>184</v>
      </c>
      <c r="C188" s="6" t="s">
        <v>565</v>
      </c>
      <c r="D188" s="97" t="s">
        <v>158</v>
      </c>
      <c r="E188" s="8">
        <v>11250</v>
      </c>
      <c r="F188" s="26"/>
      <c r="G188" s="6"/>
      <c r="H188" s="26"/>
      <c r="I188" s="6"/>
      <c r="J188" s="26"/>
      <c r="K188" s="6"/>
      <c r="L188" s="26"/>
      <c r="M188" s="6"/>
      <c r="N188" s="96"/>
    </row>
    <row r="189" spans="2:14" x14ac:dyDescent="0.25">
      <c r="B189" s="43">
        <v>185</v>
      </c>
      <c r="C189" s="6" t="s">
        <v>566</v>
      </c>
      <c r="D189" s="97" t="s">
        <v>159</v>
      </c>
      <c r="E189" s="8">
        <v>22500</v>
      </c>
      <c r="F189" s="26"/>
      <c r="G189" s="6"/>
      <c r="H189" s="26"/>
      <c r="I189" s="6"/>
      <c r="J189" s="26"/>
      <c r="K189" s="6"/>
      <c r="L189" s="26"/>
      <c r="M189" s="6"/>
      <c r="N189" s="96"/>
    </row>
    <row r="190" spans="2:14" x14ac:dyDescent="0.25">
      <c r="B190" s="43">
        <v>186</v>
      </c>
      <c r="C190" s="6" t="s">
        <v>567</v>
      </c>
      <c r="D190" s="97" t="s">
        <v>160</v>
      </c>
      <c r="E190" s="8">
        <v>4725</v>
      </c>
      <c r="F190" s="26"/>
      <c r="G190" s="6"/>
      <c r="H190" s="26"/>
      <c r="I190" s="6"/>
      <c r="J190" s="26"/>
      <c r="K190" s="6"/>
      <c r="L190" s="26"/>
      <c r="M190" s="6"/>
      <c r="N190" s="96"/>
    </row>
    <row r="191" spans="2:14" x14ac:dyDescent="0.25">
      <c r="B191" s="43">
        <v>187</v>
      </c>
      <c r="C191" s="6" t="s">
        <v>568</v>
      </c>
      <c r="D191" s="97" t="s">
        <v>161</v>
      </c>
      <c r="E191" s="8">
        <v>10500</v>
      </c>
      <c r="F191" s="26"/>
      <c r="G191" s="6"/>
      <c r="H191" s="26"/>
      <c r="I191" s="6"/>
      <c r="J191" s="26"/>
      <c r="K191" s="6"/>
      <c r="L191" s="26"/>
      <c r="M191" s="6"/>
      <c r="N191" s="96"/>
    </row>
    <row r="192" spans="2:14" x14ac:dyDescent="0.25">
      <c r="B192" s="43">
        <v>188</v>
      </c>
      <c r="C192" s="6" t="s">
        <v>568</v>
      </c>
      <c r="D192" s="97" t="s">
        <v>161</v>
      </c>
      <c r="E192" s="8">
        <v>10500</v>
      </c>
      <c r="F192" s="26"/>
      <c r="G192" s="6"/>
      <c r="H192" s="26"/>
      <c r="I192" s="6"/>
      <c r="J192" s="26"/>
      <c r="K192" s="6"/>
      <c r="L192" s="26"/>
      <c r="M192" s="6"/>
      <c r="N192" s="96"/>
    </row>
    <row r="193" spans="2:14" x14ac:dyDescent="0.25">
      <c r="B193" s="43">
        <v>189</v>
      </c>
      <c r="C193" s="6" t="s">
        <v>619</v>
      </c>
      <c r="D193" s="97" t="s">
        <v>162</v>
      </c>
      <c r="E193" s="8">
        <v>300000</v>
      </c>
      <c r="F193" s="26"/>
      <c r="G193" s="6"/>
      <c r="H193" s="26"/>
      <c r="I193" s="6"/>
      <c r="J193" s="26"/>
      <c r="K193" s="6"/>
      <c r="L193" s="26"/>
      <c r="M193" s="6"/>
      <c r="N193" s="96"/>
    </row>
    <row r="194" spans="2:14" x14ac:dyDescent="0.25">
      <c r="B194" s="43">
        <v>190</v>
      </c>
      <c r="C194" s="6" t="s">
        <v>618</v>
      </c>
      <c r="D194" s="97" t="s">
        <v>163</v>
      </c>
      <c r="E194" s="8">
        <v>300000</v>
      </c>
      <c r="F194" s="26"/>
      <c r="G194" s="6"/>
      <c r="H194" s="26"/>
      <c r="I194" s="6"/>
      <c r="J194" s="26"/>
      <c r="K194" s="6"/>
      <c r="L194" s="26"/>
      <c r="M194" s="6"/>
      <c r="N194" s="96"/>
    </row>
    <row r="195" spans="2:14" x14ac:dyDescent="0.25">
      <c r="B195" s="43">
        <v>191</v>
      </c>
      <c r="C195" s="6" t="s">
        <v>569</v>
      </c>
      <c r="D195" s="97" t="s">
        <v>164</v>
      </c>
      <c r="E195" s="8">
        <v>7000</v>
      </c>
      <c r="F195" s="26"/>
      <c r="G195" s="8">
        <v>5000</v>
      </c>
      <c r="H195" s="26" t="s">
        <v>385</v>
      </c>
      <c r="I195" s="6"/>
      <c r="J195" s="26"/>
      <c r="K195" s="6"/>
      <c r="L195" s="26"/>
      <c r="M195" s="6"/>
      <c r="N195" s="96"/>
    </row>
    <row r="196" spans="2:14" x14ac:dyDescent="0.25">
      <c r="B196" s="43">
        <v>192</v>
      </c>
      <c r="C196" s="43" t="s">
        <v>775</v>
      </c>
      <c r="D196" s="97" t="s">
        <v>165</v>
      </c>
      <c r="E196" s="8">
        <v>5000</v>
      </c>
      <c r="F196" s="26" t="s">
        <v>386</v>
      </c>
      <c r="G196" s="6"/>
      <c r="H196" s="26"/>
      <c r="I196" s="6"/>
      <c r="J196" s="26"/>
      <c r="K196" s="6"/>
      <c r="L196" s="26"/>
      <c r="M196" s="6"/>
      <c r="N196" s="96"/>
    </row>
    <row r="197" spans="2:14" x14ac:dyDescent="0.25">
      <c r="B197" s="43">
        <v>193</v>
      </c>
      <c r="C197" s="93"/>
      <c r="D197" s="97" t="s">
        <v>166</v>
      </c>
      <c r="E197" s="8">
        <v>5175</v>
      </c>
      <c r="F197" s="26"/>
      <c r="G197" s="6"/>
      <c r="H197" s="26"/>
      <c r="I197" s="6"/>
      <c r="J197" s="26"/>
      <c r="K197" s="6"/>
      <c r="L197" s="26"/>
      <c r="M197" s="6"/>
      <c r="N197" s="96"/>
    </row>
    <row r="198" spans="2:14" x14ac:dyDescent="0.25">
      <c r="B198" s="43">
        <v>194</v>
      </c>
      <c r="C198" s="93"/>
      <c r="D198" s="97" t="s">
        <v>167</v>
      </c>
      <c r="E198" s="8">
        <v>5175</v>
      </c>
      <c r="F198" s="26"/>
      <c r="G198" s="6"/>
      <c r="H198" s="26"/>
      <c r="I198" s="6"/>
      <c r="J198" s="26"/>
      <c r="K198" s="6"/>
      <c r="L198" s="26"/>
      <c r="M198" s="6"/>
      <c r="N198" s="96"/>
    </row>
    <row r="199" spans="2:14" x14ac:dyDescent="0.25">
      <c r="B199" s="43">
        <v>195</v>
      </c>
      <c r="C199" s="93" t="s">
        <v>699</v>
      </c>
      <c r="D199" s="97" t="s">
        <v>168</v>
      </c>
      <c r="E199" s="8">
        <v>7000</v>
      </c>
      <c r="F199" s="26"/>
      <c r="G199" s="8">
        <v>5300</v>
      </c>
      <c r="H199" s="26" t="s">
        <v>385</v>
      </c>
      <c r="I199" s="6"/>
      <c r="J199" s="26"/>
      <c r="K199" s="6"/>
      <c r="L199" s="26"/>
      <c r="M199" s="6"/>
      <c r="N199" s="96"/>
    </row>
    <row r="200" spans="2:14" x14ac:dyDescent="0.25">
      <c r="B200" s="43">
        <v>196</v>
      </c>
      <c r="C200" s="6" t="s">
        <v>570</v>
      </c>
      <c r="D200" s="97" t="s">
        <v>169</v>
      </c>
      <c r="E200" s="8">
        <v>9600</v>
      </c>
      <c r="F200" s="26"/>
      <c r="G200" s="6"/>
      <c r="H200" s="26"/>
      <c r="I200" s="6"/>
      <c r="J200" s="26"/>
      <c r="K200" s="6"/>
      <c r="L200" s="26"/>
      <c r="M200" s="6"/>
      <c r="N200" s="96"/>
    </row>
    <row r="201" spans="2:14" x14ac:dyDescent="0.25">
      <c r="B201" s="43">
        <v>197</v>
      </c>
      <c r="C201" s="6" t="s">
        <v>571</v>
      </c>
      <c r="D201" s="97" t="s">
        <v>170</v>
      </c>
      <c r="E201" s="8">
        <v>4800</v>
      </c>
      <c r="F201" s="26"/>
      <c r="G201" s="6"/>
      <c r="H201" s="26"/>
      <c r="I201" s="6"/>
      <c r="J201" s="26"/>
      <c r="K201" s="6"/>
      <c r="L201" s="26"/>
      <c r="M201" s="6"/>
      <c r="N201" s="96"/>
    </row>
    <row r="202" spans="2:14" x14ac:dyDescent="0.25">
      <c r="B202" s="43">
        <v>198</v>
      </c>
      <c r="C202" s="6" t="s">
        <v>572</v>
      </c>
      <c r="D202" s="97" t="s">
        <v>171</v>
      </c>
      <c r="E202" s="8">
        <v>9600</v>
      </c>
      <c r="F202" s="26"/>
      <c r="G202" s="6"/>
      <c r="H202" s="26"/>
      <c r="I202" s="6"/>
      <c r="J202" s="26"/>
      <c r="K202" s="6"/>
      <c r="L202" s="26"/>
      <c r="M202" s="6"/>
      <c r="N202" s="96"/>
    </row>
    <row r="203" spans="2:14" x14ac:dyDescent="0.25">
      <c r="B203" s="43">
        <v>199</v>
      </c>
      <c r="C203" s="6" t="s">
        <v>573</v>
      </c>
      <c r="D203" s="97" t="s">
        <v>172</v>
      </c>
      <c r="E203" s="8">
        <v>24000</v>
      </c>
      <c r="F203" s="26"/>
      <c r="G203" s="6"/>
      <c r="H203" s="26"/>
      <c r="I203" s="6"/>
      <c r="J203" s="26"/>
      <c r="K203" s="6"/>
      <c r="L203" s="26"/>
      <c r="M203" s="6"/>
      <c r="N203" s="96"/>
    </row>
    <row r="204" spans="2:14" x14ac:dyDescent="0.25">
      <c r="B204" s="43">
        <v>200</v>
      </c>
      <c r="C204" s="6" t="s">
        <v>574</v>
      </c>
      <c r="D204" s="97" t="s">
        <v>173</v>
      </c>
      <c r="E204" s="8">
        <v>7200</v>
      </c>
      <c r="F204" s="26"/>
      <c r="G204" s="6"/>
      <c r="H204" s="26"/>
      <c r="I204" s="6"/>
      <c r="J204" s="26"/>
      <c r="K204" s="6"/>
      <c r="L204" s="26"/>
      <c r="M204" s="6"/>
      <c r="N204" s="96"/>
    </row>
    <row r="205" spans="2:14" x14ac:dyDescent="0.25">
      <c r="B205" s="43">
        <v>201</v>
      </c>
      <c r="C205" s="6" t="s">
        <v>575</v>
      </c>
      <c r="D205" s="97" t="s">
        <v>174</v>
      </c>
      <c r="E205" s="8">
        <v>9600</v>
      </c>
      <c r="F205" s="26"/>
      <c r="G205" s="6"/>
      <c r="H205" s="26"/>
      <c r="I205" s="6"/>
      <c r="J205" s="26"/>
      <c r="K205" s="6"/>
      <c r="L205" s="26"/>
      <c r="M205" s="6"/>
      <c r="N205" s="96"/>
    </row>
    <row r="206" spans="2:14" x14ac:dyDescent="0.25">
      <c r="B206" s="43">
        <v>202</v>
      </c>
      <c r="C206" s="6" t="s">
        <v>784</v>
      </c>
      <c r="D206" s="97" t="s">
        <v>175</v>
      </c>
      <c r="E206" s="8">
        <v>4800</v>
      </c>
      <c r="F206" s="26"/>
      <c r="G206" s="6"/>
      <c r="H206" s="26"/>
      <c r="I206" s="6"/>
      <c r="J206" s="26"/>
      <c r="K206" s="6"/>
      <c r="L206" s="26"/>
      <c r="M206" s="6"/>
      <c r="N206" s="96"/>
    </row>
    <row r="207" spans="2:14" x14ac:dyDescent="0.25">
      <c r="B207" s="43">
        <v>203</v>
      </c>
      <c r="C207" s="6" t="s">
        <v>577</v>
      </c>
      <c r="D207" s="97" t="s">
        <v>176</v>
      </c>
      <c r="E207" s="8">
        <v>4800</v>
      </c>
      <c r="F207" s="26"/>
      <c r="G207" s="6"/>
      <c r="H207" s="26"/>
      <c r="I207" s="6"/>
      <c r="J207" s="26"/>
      <c r="K207" s="6"/>
      <c r="L207" s="26"/>
      <c r="M207" s="6"/>
      <c r="N207" s="96"/>
    </row>
    <row r="208" spans="2:14" x14ac:dyDescent="0.25">
      <c r="B208" s="43">
        <v>204</v>
      </c>
      <c r="C208" s="6" t="s">
        <v>785</v>
      </c>
      <c r="D208" s="97" t="s">
        <v>177</v>
      </c>
      <c r="E208" s="8">
        <v>9600</v>
      </c>
      <c r="F208" s="26"/>
      <c r="G208" s="6"/>
      <c r="H208" s="26"/>
      <c r="I208" s="6"/>
      <c r="J208" s="26"/>
      <c r="K208" s="6"/>
      <c r="L208" s="26"/>
      <c r="M208" s="6"/>
      <c r="N208" s="96"/>
    </row>
    <row r="209" spans="2:14" x14ac:dyDescent="0.25">
      <c r="B209" s="43">
        <v>205</v>
      </c>
      <c r="C209" s="6" t="s">
        <v>576</v>
      </c>
      <c r="D209" s="97" t="s">
        <v>178</v>
      </c>
      <c r="E209" s="8">
        <v>4800</v>
      </c>
      <c r="F209" s="26"/>
      <c r="G209" s="6"/>
      <c r="H209" s="26"/>
      <c r="I209" s="6"/>
      <c r="J209" s="26"/>
      <c r="K209" s="6"/>
      <c r="L209" s="26"/>
      <c r="M209" s="6"/>
      <c r="N209" s="96"/>
    </row>
    <row r="210" spans="2:14" x14ac:dyDescent="0.25">
      <c r="B210" s="43">
        <v>206</v>
      </c>
      <c r="C210" s="6" t="s">
        <v>579</v>
      </c>
      <c r="D210" s="97" t="s">
        <v>179</v>
      </c>
      <c r="E210" s="8">
        <v>9600</v>
      </c>
      <c r="F210" s="26"/>
      <c r="G210" s="6"/>
      <c r="H210" s="26"/>
      <c r="I210" s="6"/>
      <c r="J210" s="26"/>
      <c r="K210" s="6"/>
      <c r="L210" s="26"/>
      <c r="M210" s="6"/>
      <c r="N210" s="96"/>
    </row>
    <row r="211" spans="2:14" x14ac:dyDescent="0.25">
      <c r="B211" s="43">
        <v>207</v>
      </c>
      <c r="C211" s="6" t="s">
        <v>580</v>
      </c>
      <c r="D211" s="97" t="s">
        <v>180</v>
      </c>
      <c r="E211" s="8">
        <v>9600</v>
      </c>
      <c r="F211" s="26"/>
      <c r="G211" s="6"/>
      <c r="H211" s="26"/>
      <c r="I211" s="6"/>
      <c r="J211" s="26"/>
      <c r="K211" s="6"/>
      <c r="L211" s="26"/>
      <c r="M211" s="6"/>
      <c r="N211" s="96"/>
    </row>
    <row r="212" spans="2:14" x14ac:dyDescent="0.25">
      <c r="B212" s="43">
        <v>208</v>
      </c>
      <c r="C212" s="6" t="s">
        <v>581</v>
      </c>
      <c r="D212" s="97" t="s">
        <v>181</v>
      </c>
      <c r="E212" s="8">
        <v>4800</v>
      </c>
      <c r="F212" s="26"/>
      <c r="G212" s="6"/>
      <c r="H212" s="26"/>
      <c r="I212" s="6"/>
      <c r="J212" s="26"/>
      <c r="K212" s="6"/>
      <c r="L212" s="26"/>
      <c r="M212" s="6"/>
      <c r="N212" s="96"/>
    </row>
    <row r="213" spans="2:14" x14ac:dyDescent="0.25">
      <c r="B213" s="43">
        <v>209</v>
      </c>
      <c r="C213" s="6" t="s">
        <v>581</v>
      </c>
      <c r="D213" s="97" t="s">
        <v>182</v>
      </c>
      <c r="E213" s="8">
        <v>24000</v>
      </c>
      <c r="F213" s="26"/>
      <c r="G213" s="6"/>
      <c r="H213" s="26"/>
      <c r="I213" s="6"/>
      <c r="J213" s="26"/>
      <c r="K213" s="6"/>
      <c r="L213" s="26"/>
      <c r="M213" s="6"/>
      <c r="N213" s="96"/>
    </row>
    <row r="214" spans="2:14" x14ac:dyDescent="0.25">
      <c r="B214" s="43">
        <v>210</v>
      </c>
      <c r="C214" s="6" t="s">
        <v>582</v>
      </c>
      <c r="D214" s="97" t="s">
        <v>183</v>
      </c>
      <c r="E214" s="8">
        <v>4800</v>
      </c>
      <c r="F214" s="26"/>
      <c r="G214" s="6"/>
      <c r="H214" s="26"/>
      <c r="I214" s="6"/>
      <c r="J214" s="26"/>
      <c r="K214" s="6"/>
      <c r="L214" s="26"/>
      <c r="M214" s="6"/>
      <c r="N214" s="96"/>
    </row>
    <row r="215" spans="2:14" x14ac:dyDescent="0.25">
      <c r="B215" s="43">
        <v>211</v>
      </c>
      <c r="C215" s="6" t="s">
        <v>786</v>
      </c>
      <c r="D215" s="97" t="s">
        <v>184</v>
      </c>
      <c r="E215" s="8">
        <v>9600</v>
      </c>
      <c r="F215" s="26"/>
      <c r="G215" s="6"/>
      <c r="H215" s="26"/>
      <c r="I215" s="6"/>
      <c r="J215" s="26"/>
      <c r="K215" s="6"/>
      <c r="L215" s="26"/>
      <c r="M215" s="6"/>
      <c r="N215" s="96"/>
    </row>
    <row r="216" spans="2:14" x14ac:dyDescent="0.25">
      <c r="B216" s="43">
        <v>212</v>
      </c>
      <c r="C216" s="6" t="s">
        <v>783</v>
      </c>
      <c r="D216" s="97" t="s">
        <v>185</v>
      </c>
      <c r="E216" s="8">
        <v>4800</v>
      </c>
      <c r="F216" s="26"/>
      <c r="G216" s="6"/>
      <c r="H216" s="26"/>
      <c r="I216" s="6"/>
      <c r="J216" s="26"/>
      <c r="K216" s="6"/>
      <c r="L216" s="26"/>
      <c r="M216" s="6"/>
      <c r="N216" s="96"/>
    </row>
    <row r="217" spans="2:14" x14ac:dyDescent="0.25">
      <c r="B217" s="43">
        <v>213</v>
      </c>
      <c r="C217" s="6" t="s">
        <v>994</v>
      </c>
      <c r="D217" s="97" t="s">
        <v>186</v>
      </c>
      <c r="E217" s="8">
        <v>900</v>
      </c>
      <c r="F217" s="26"/>
      <c r="G217" s="6"/>
      <c r="H217" s="26"/>
      <c r="I217" s="6"/>
      <c r="J217" s="26"/>
      <c r="K217" s="6"/>
      <c r="L217" s="26"/>
      <c r="M217" s="6"/>
      <c r="N217" s="96"/>
    </row>
    <row r="218" spans="2:14" x14ac:dyDescent="0.25">
      <c r="B218" s="43">
        <v>214</v>
      </c>
      <c r="C218" s="6" t="s">
        <v>833</v>
      </c>
      <c r="D218" s="97" t="s">
        <v>187</v>
      </c>
      <c r="E218" s="8">
        <v>1800</v>
      </c>
      <c r="F218" s="26"/>
      <c r="G218" s="6"/>
      <c r="H218" s="26"/>
      <c r="I218" s="6"/>
      <c r="J218" s="26"/>
      <c r="K218" s="6"/>
      <c r="L218" s="26"/>
      <c r="M218" s="6"/>
      <c r="N218" s="96"/>
    </row>
    <row r="219" spans="2:14" x14ac:dyDescent="0.25">
      <c r="B219" s="43">
        <v>215</v>
      </c>
      <c r="C219" s="6" t="s">
        <v>586</v>
      </c>
      <c r="D219" s="97" t="s">
        <v>188</v>
      </c>
      <c r="E219" s="8">
        <v>11425</v>
      </c>
      <c r="F219" s="26"/>
      <c r="G219" s="6"/>
      <c r="H219" s="26"/>
      <c r="I219" s="6"/>
      <c r="J219" s="26"/>
      <c r="K219" s="6"/>
      <c r="L219" s="26"/>
      <c r="M219" s="6"/>
      <c r="N219" s="96"/>
    </row>
    <row r="220" spans="2:14" x14ac:dyDescent="0.25">
      <c r="B220" s="43">
        <v>216</v>
      </c>
      <c r="C220" s="6" t="s">
        <v>588</v>
      </c>
      <c r="D220" s="97" t="s">
        <v>189</v>
      </c>
      <c r="E220" s="8">
        <v>1700</v>
      </c>
      <c r="F220" s="26"/>
      <c r="G220" s="6"/>
      <c r="H220" s="26"/>
      <c r="I220" s="6"/>
      <c r="J220" s="26"/>
      <c r="K220" s="6"/>
      <c r="L220" s="26"/>
      <c r="M220" s="6"/>
      <c r="N220" s="96"/>
    </row>
    <row r="221" spans="2:14" x14ac:dyDescent="0.25">
      <c r="B221" s="43">
        <v>217</v>
      </c>
      <c r="C221" s="6" t="s">
        <v>589</v>
      </c>
      <c r="D221" s="106" t="s">
        <v>190</v>
      </c>
      <c r="E221" s="107" t="s">
        <v>191</v>
      </c>
      <c r="F221" s="26"/>
      <c r="G221" s="6"/>
      <c r="H221" s="26"/>
      <c r="I221" s="6"/>
      <c r="J221" s="26"/>
      <c r="K221" s="6"/>
      <c r="L221" s="26"/>
      <c r="M221" s="6"/>
      <c r="N221" s="96"/>
    </row>
    <row r="222" spans="2:14" x14ac:dyDescent="0.25">
      <c r="B222" s="43">
        <v>218</v>
      </c>
      <c r="C222" s="6" t="s">
        <v>590</v>
      </c>
      <c r="D222" s="97" t="s">
        <v>192</v>
      </c>
      <c r="E222" s="8">
        <v>19500</v>
      </c>
      <c r="F222" s="26"/>
      <c r="G222" s="6"/>
      <c r="H222" s="26"/>
      <c r="I222" s="6"/>
      <c r="J222" s="26"/>
      <c r="K222" s="6"/>
      <c r="L222" s="26"/>
      <c r="M222" s="6"/>
      <c r="N222" s="96"/>
    </row>
    <row r="223" spans="2:14" x14ac:dyDescent="0.25">
      <c r="B223" s="43">
        <v>219</v>
      </c>
      <c r="C223" s="6" t="s">
        <v>421</v>
      </c>
      <c r="D223" s="97" t="s">
        <v>193</v>
      </c>
      <c r="E223" s="72">
        <v>23800</v>
      </c>
      <c r="F223" s="26"/>
      <c r="G223" s="6"/>
      <c r="H223" s="26"/>
      <c r="I223" s="6"/>
      <c r="J223" s="26"/>
      <c r="K223" s="6"/>
      <c r="L223" s="26"/>
      <c r="M223" s="6"/>
      <c r="N223" s="96"/>
    </row>
    <row r="224" spans="2:14" x14ac:dyDescent="0.25">
      <c r="B224" s="43">
        <v>220</v>
      </c>
      <c r="C224" s="6" t="s">
        <v>685</v>
      </c>
      <c r="D224" s="97" t="s">
        <v>194</v>
      </c>
      <c r="E224" s="8">
        <v>49500</v>
      </c>
      <c r="F224" s="26"/>
      <c r="G224" s="6"/>
      <c r="H224" s="26"/>
      <c r="I224" s="6"/>
      <c r="J224" s="26"/>
      <c r="K224" s="6"/>
      <c r="L224" s="26"/>
      <c r="M224" s="6"/>
      <c r="N224" s="96"/>
    </row>
    <row r="225" spans="2:14" x14ac:dyDescent="0.25">
      <c r="B225" s="43">
        <v>221</v>
      </c>
      <c r="C225" s="93"/>
      <c r="D225" s="97" t="s">
        <v>196</v>
      </c>
      <c r="E225" s="8">
        <v>625000</v>
      </c>
      <c r="F225" s="26"/>
      <c r="G225" s="6"/>
      <c r="H225" s="26"/>
      <c r="I225" s="6"/>
      <c r="J225" s="26"/>
      <c r="K225" s="6"/>
      <c r="L225" s="26"/>
      <c r="M225" s="6"/>
      <c r="N225" s="96"/>
    </row>
    <row r="226" spans="2:14" x14ac:dyDescent="0.25">
      <c r="B226" s="43">
        <v>222</v>
      </c>
      <c r="C226" s="93" t="s">
        <v>683</v>
      </c>
      <c r="D226" s="97" t="s">
        <v>195</v>
      </c>
      <c r="E226" s="8">
        <v>450000</v>
      </c>
      <c r="F226" s="26"/>
      <c r="G226" s="6"/>
      <c r="H226" s="26"/>
      <c r="I226" s="6"/>
      <c r="J226" s="26"/>
      <c r="K226" s="6"/>
      <c r="L226" s="26"/>
      <c r="M226" s="6"/>
      <c r="N226" s="96"/>
    </row>
    <row r="227" spans="2:14" x14ac:dyDescent="0.25">
      <c r="B227" s="43">
        <v>223</v>
      </c>
      <c r="C227" s="93" t="s">
        <v>684</v>
      </c>
      <c r="D227" s="97" t="s">
        <v>197</v>
      </c>
      <c r="E227" s="8">
        <v>900000</v>
      </c>
      <c r="F227" s="26"/>
      <c r="G227" s="6"/>
      <c r="H227" s="26"/>
      <c r="I227" s="6"/>
      <c r="J227" s="26"/>
      <c r="K227" s="6"/>
      <c r="L227" s="26"/>
      <c r="M227" s="6"/>
      <c r="N227" s="96"/>
    </row>
    <row r="228" spans="2:14" x14ac:dyDescent="0.25">
      <c r="B228" s="43">
        <v>224</v>
      </c>
      <c r="C228" s="6" t="s">
        <v>591</v>
      </c>
      <c r="D228" s="97" t="s">
        <v>198</v>
      </c>
      <c r="E228" s="8">
        <v>4300</v>
      </c>
      <c r="F228" s="26"/>
      <c r="G228" s="6"/>
      <c r="H228" s="26"/>
      <c r="I228" s="6"/>
      <c r="J228" s="26"/>
      <c r="K228" s="6"/>
      <c r="L228" s="26"/>
      <c r="M228" s="6"/>
      <c r="N228" s="96"/>
    </row>
    <row r="229" spans="2:14" x14ac:dyDescent="0.25">
      <c r="B229" s="43">
        <v>225</v>
      </c>
      <c r="C229" s="6" t="s">
        <v>990</v>
      </c>
      <c r="D229" s="97" t="s">
        <v>199</v>
      </c>
      <c r="E229" s="8">
        <v>1134</v>
      </c>
      <c r="F229" s="26"/>
      <c r="G229" s="6"/>
      <c r="H229" s="26"/>
      <c r="I229" s="6"/>
      <c r="J229" s="26"/>
      <c r="K229" s="6"/>
      <c r="L229" s="26"/>
      <c r="M229" s="6"/>
      <c r="N229" s="96"/>
    </row>
    <row r="230" spans="2:14" x14ac:dyDescent="0.25">
      <c r="B230" s="43">
        <v>226</v>
      </c>
      <c r="C230" s="6" t="s">
        <v>593</v>
      </c>
      <c r="D230" s="97" t="s">
        <v>200</v>
      </c>
      <c r="E230" s="8">
        <v>3528</v>
      </c>
      <c r="F230" s="26"/>
      <c r="G230" s="6"/>
      <c r="H230" s="26"/>
      <c r="I230" s="6"/>
      <c r="J230" s="26"/>
      <c r="K230" s="6"/>
      <c r="L230" s="26"/>
      <c r="M230" s="6"/>
      <c r="N230" s="96"/>
    </row>
    <row r="231" spans="2:14" x14ac:dyDescent="0.25">
      <c r="B231" s="43">
        <v>227</v>
      </c>
      <c r="C231" s="6" t="s">
        <v>594</v>
      </c>
      <c r="D231" s="97" t="s">
        <v>201</v>
      </c>
      <c r="E231" s="8">
        <v>7056</v>
      </c>
      <c r="F231" s="26"/>
      <c r="G231" s="6"/>
      <c r="H231" s="26"/>
      <c r="I231" s="6"/>
      <c r="J231" s="26"/>
      <c r="K231" s="6"/>
      <c r="L231" s="26"/>
      <c r="M231" s="6"/>
      <c r="N231" s="96"/>
    </row>
    <row r="232" spans="2:14" x14ac:dyDescent="0.25">
      <c r="B232" s="43">
        <v>228</v>
      </c>
      <c r="C232" s="6" t="s">
        <v>595</v>
      </c>
      <c r="D232" s="97" t="s">
        <v>202</v>
      </c>
      <c r="E232" s="8">
        <v>2400</v>
      </c>
      <c r="F232" s="26"/>
      <c r="G232" s="6"/>
      <c r="H232" s="26"/>
      <c r="I232" s="6"/>
      <c r="J232" s="26"/>
      <c r="K232" s="6"/>
      <c r="L232" s="26"/>
      <c r="M232" s="6"/>
      <c r="N232" s="96"/>
    </row>
    <row r="233" spans="2:14" x14ac:dyDescent="0.25">
      <c r="B233" s="43">
        <v>229</v>
      </c>
      <c r="C233" s="6" t="s">
        <v>596</v>
      </c>
      <c r="D233" s="97" t="s">
        <v>203</v>
      </c>
      <c r="E233" s="8">
        <v>2200</v>
      </c>
      <c r="F233" s="26" t="s">
        <v>387</v>
      </c>
      <c r="G233" s="6"/>
      <c r="H233" s="26"/>
      <c r="I233" s="6"/>
      <c r="J233" s="26"/>
      <c r="K233" s="6"/>
      <c r="L233" s="26"/>
      <c r="M233" s="6"/>
      <c r="N233" s="96"/>
    </row>
    <row r="234" spans="2:14" x14ac:dyDescent="0.25">
      <c r="B234" s="43">
        <v>230</v>
      </c>
      <c r="C234" s="6" t="s">
        <v>963</v>
      </c>
      <c r="D234" s="97" t="s">
        <v>204</v>
      </c>
      <c r="E234" s="8">
        <v>25000</v>
      </c>
      <c r="F234" s="26"/>
      <c r="G234" s="6"/>
      <c r="H234" s="26"/>
      <c r="I234" s="6"/>
      <c r="J234" s="26"/>
      <c r="K234" s="6"/>
      <c r="L234" s="26"/>
      <c r="M234" s="6"/>
      <c r="N234" s="96"/>
    </row>
    <row r="235" spans="2:14" x14ac:dyDescent="0.25">
      <c r="B235" s="43">
        <v>231</v>
      </c>
      <c r="C235" s="6" t="s">
        <v>597</v>
      </c>
      <c r="D235" s="97" t="s">
        <v>205</v>
      </c>
      <c r="E235" s="8">
        <v>4800</v>
      </c>
      <c r="F235" s="26"/>
      <c r="G235" s="6"/>
      <c r="H235" s="26"/>
      <c r="I235" s="6"/>
      <c r="J235" s="26"/>
      <c r="K235" s="6"/>
      <c r="L235" s="26"/>
      <c r="M235" s="6"/>
      <c r="N235" s="96"/>
    </row>
    <row r="236" spans="2:14" x14ac:dyDescent="0.25">
      <c r="B236" s="43">
        <v>232</v>
      </c>
      <c r="C236" s="6" t="s">
        <v>600</v>
      </c>
      <c r="D236" s="97" t="s">
        <v>206</v>
      </c>
      <c r="E236" s="8">
        <v>5000</v>
      </c>
      <c r="F236" s="26"/>
      <c r="G236" s="6"/>
      <c r="H236" s="26"/>
      <c r="I236" s="6"/>
      <c r="J236" s="26"/>
      <c r="K236" s="6"/>
      <c r="L236" s="26"/>
      <c r="M236" s="6"/>
      <c r="N236" s="96"/>
    </row>
    <row r="237" spans="2:14" x14ac:dyDescent="0.25">
      <c r="B237" s="43">
        <v>233</v>
      </c>
      <c r="C237" s="6" t="s">
        <v>599</v>
      </c>
      <c r="D237" s="97" t="s">
        <v>207</v>
      </c>
      <c r="E237" s="8">
        <v>5000</v>
      </c>
      <c r="F237" s="26"/>
      <c r="G237" s="6"/>
      <c r="H237" s="26"/>
      <c r="I237" s="6"/>
      <c r="J237" s="26"/>
      <c r="K237" s="6"/>
      <c r="L237" s="26"/>
      <c r="M237" s="6"/>
      <c r="N237" s="96"/>
    </row>
    <row r="238" spans="2:14" x14ac:dyDescent="0.25">
      <c r="B238" s="43">
        <v>234</v>
      </c>
      <c r="C238" s="6" t="s">
        <v>601</v>
      </c>
      <c r="D238" s="97" t="s">
        <v>208</v>
      </c>
      <c r="E238" s="8">
        <v>8000</v>
      </c>
      <c r="F238" s="26"/>
      <c r="G238" s="6"/>
      <c r="H238" s="26"/>
      <c r="I238" s="6"/>
      <c r="J238" s="26"/>
      <c r="K238" s="6"/>
      <c r="L238" s="26"/>
      <c r="M238" s="6"/>
      <c r="N238" s="96"/>
    </row>
    <row r="239" spans="2:14" x14ac:dyDescent="0.25">
      <c r="B239" s="43">
        <v>235</v>
      </c>
      <c r="C239" s="6" t="s">
        <v>602</v>
      </c>
      <c r="D239" s="97" t="s">
        <v>209</v>
      </c>
      <c r="E239" s="8">
        <v>3475</v>
      </c>
      <c r="F239" s="26"/>
      <c r="G239" s="6"/>
      <c r="H239" s="26"/>
      <c r="I239" s="6"/>
      <c r="J239" s="26"/>
      <c r="K239" s="6"/>
      <c r="L239" s="26"/>
      <c r="M239" s="6"/>
      <c r="N239" s="96"/>
    </row>
    <row r="240" spans="2:14" x14ac:dyDescent="0.25">
      <c r="B240" s="43">
        <v>236</v>
      </c>
      <c r="C240" s="6" t="s">
        <v>838</v>
      </c>
      <c r="D240" s="97" t="s">
        <v>210</v>
      </c>
      <c r="E240" s="8">
        <v>3800</v>
      </c>
      <c r="F240" s="26"/>
      <c r="G240" s="6"/>
      <c r="H240" s="26"/>
      <c r="I240" s="6"/>
      <c r="J240" s="26"/>
      <c r="K240" s="6"/>
      <c r="L240" s="26"/>
      <c r="M240" s="6"/>
      <c r="N240" s="96"/>
    </row>
    <row r="241" spans="2:14" x14ac:dyDescent="0.25">
      <c r="B241" s="43">
        <v>237</v>
      </c>
      <c r="C241" s="6" t="s">
        <v>604</v>
      </c>
      <c r="D241" s="97" t="s">
        <v>211</v>
      </c>
      <c r="E241" s="8">
        <v>3675</v>
      </c>
      <c r="F241" s="26"/>
      <c r="G241" s="6"/>
      <c r="H241" s="26"/>
      <c r="I241" s="6"/>
      <c r="J241" s="26"/>
      <c r="K241" s="6"/>
      <c r="L241" s="26"/>
      <c r="M241" s="6"/>
      <c r="N241" s="96"/>
    </row>
    <row r="242" spans="2:14" x14ac:dyDescent="0.25">
      <c r="B242" s="43">
        <v>238</v>
      </c>
      <c r="C242" s="6" t="s">
        <v>605</v>
      </c>
      <c r="D242" s="97" t="s">
        <v>212</v>
      </c>
      <c r="E242" s="8">
        <v>3800</v>
      </c>
      <c r="F242" s="26"/>
      <c r="G242" s="6"/>
      <c r="H242" s="26"/>
      <c r="I242" s="6"/>
      <c r="J242" s="26"/>
      <c r="K242" s="6"/>
      <c r="L242" s="26"/>
      <c r="M242" s="6"/>
      <c r="N242" s="96"/>
    </row>
    <row r="243" spans="2:14" x14ac:dyDescent="0.25">
      <c r="B243" s="43">
        <v>239</v>
      </c>
      <c r="C243" s="6" t="s">
        <v>606</v>
      </c>
      <c r="D243" s="97" t="s">
        <v>213</v>
      </c>
      <c r="E243" s="8">
        <v>3800</v>
      </c>
      <c r="F243" s="26"/>
      <c r="G243" s="6"/>
      <c r="H243" s="26"/>
      <c r="I243" s="6"/>
      <c r="J243" s="26"/>
      <c r="K243" s="6"/>
      <c r="L243" s="26"/>
      <c r="M243" s="6"/>
      <c r="N243" s="96"/>
    </row>
    <row r="244" spans="2:14" x14ac:dyDescent="0.25">
      <c r="B244" s="43">
        <v>240</v>
      </c>
      <c r="C244" s="6" t="s">
        <v>817</v>
      </c>
      <c r="D244" s="97" t="s">
        <v>214</v>
      </c>
      <c r="E244" s="8">
        <v>339</v>
      </c>
      <c r="F244" s="26"/>
      <c r="G244" s="6"/>
      <c r="H244" s="26"/>
      <c r="I244" s="6"/>
      <c r="J244" s="26"/>
      <c r="K244" s="6"/>
      <c r="L244" s="26"/>
      <c r="M244" s="6"/>
      <c r="N244" s="96"/>
    </row>
    <row r="245" spans="2:14" x14ac:dyDescent="0.25">
      <c r="B245" s="43">
        <v>241</v>
      </c>
      <c r="C245" s="6" t="s">
        <v>608</v>
      </c>
      <c r="D245" s="97" t="s">
        <v>215</v>
      </c>
      <c r="E245" s="8">
        <v>9000</v>
      </c>
      <c r="F245" s="26"/>
      <c r="G245" s="6"/>
      <c r="H245" s="26"/>
      <c r="I245" s="6"/>
      <c r="J245" s="26"/>
      <c r="K245" s="6"/>
      <c r="L245" s="26"/>
      <c r="M245" s="6"/>
      <c r="N245" s="96"/>
    </row>
    <row r="246" spans="2:14" x14ac:dyDescent="0.25">
      <c r="B246" s="43">
        <v>242</v>
      </c>
      <c r="C246" s="6" t="s">
        <v>609</v>
      </c>
      <c r="D246" s="97" t="s">
        <v>216</v>
      </c>
      <c r="E246" s="8">
        <v>1418</v>
      </c>
      <c r="F246" s="26"/>
      <c r="G246" s="6"/>
      <c r="H246" s="26"/>
      <c r="I246" s="6"/>
      <c r="J246" s="26"/>
      <c r="K246" s="6"/>
      <c r="L246" s="26"/>
      <c r="M246" s="6"/>
      <c r="N246" s="96"/>
    </row>
    <row r="247" spans="2:14" x14ac:dyDescent="0.25">
      <c r="B247" s="43">
        <v>243</v>
      </c>
      <c r="C247" s="6" t="s">
        <v>605</v>
      </c>
      <c r="D247" s="97" t="s">
        <v>217</v>
      </c>
      <c r="E247" s="8">
        <v>1900</v>
      </c>
      <c r="F247" s="26"/>
      <c r="G247" s="6"/>
      <c r="H247" s="26"/>
      <c r="I247" s="6"/>
      <c r="J247" s="26"/>
      <c r="K247" s="6"/>
      <c r="L247" s="26"/>
      <c r="M247" s="6"/>
      <c r="N247" s="96"/>
    </row>
    <row r="248" spans="2:14" x14ac:dyDescent="0.25">
      <c r="B248" s="43">
        <v>244</v>
      </c>
      <c r="C248" s="6" t="s">
        <v>610</v>
      </c>
      <c r="D248" s="97" t="s">
        <v>218</v>
      </c>
      <c r="E248" s="8">
        <v>5400</v>
      </c>
      <c r="F248" s="26"/>
      <c r="G248" s="6"/>
      <c r="H248" s="26"/>
      <c r="I248" s="6"/>
      <c r="J248" s="26"/>
      <c r="K248" s="6"/>
      <c r="L248" s="26"/>
      <c r="M248" s="6"/>
      <c r="N248" s="96"/>
    </row>
    <row r="249" spans="2:14" x14ac:dyDescent="0.25">
      <c r="B249" s="43">
        <v>245</v>
      </c>
      <c r="C249" s="6" t="s">
        <v>611</v>
      </c>
      <c r="D249" s="97" t="s">
        <v>219</v>
      </c>
      <c r="E249" s="8">
        <v>4050</v>
      </c>
      <c r="F249" s="26"/>
      <c r="G249" s="32">
        <v>4300</v>
      </c>
      <c r="H249" s="42" t="s">
        <v>388</v>
      </c>
      <c r="I249" s="6"/>
      <c r="J249" s="26"/>
      <c r="K249" s="6"/>
      <c r="L249" s="26"/>
      <c r="M249" s="6"/>
      <c r="N249" s="96"/>
    </row>
    <row r="250" spans="2:14" x14ac:dyDescent="0.25">
      <c r="B250" s="43">
        <v>246</v>
      </c>
      <c r="C250" s="6" t="s">
        <v>612</v>
      </c>
      <c r="D250" s="97" t="s">
        <v>220</v>
      </c>
      <c r="E250" s="8">
        <v>5475</v>
      </c>
      <c r="F250" s="26"/>
      <c r="G250" s="6"/>
      <c r="H250" s="26"/>
      <c r="I250" s="6"/>
      <c r="J250" s="26"/>
      <c r="K250" s="6"/>
      <c r="L250" s="26"/>
      <c r="M250" s="6"/>
      <c r="N250" s="96"/>
    </row>
    <row r="251" spans="2:14" x14ac:dyDescent="0.25">
      <c r="B251" s="43">
        <v>247</v>
      </c>
      <c r="C251" s="6" t="s">
        <v>612</v>
      </c>
      <c r="D251" s="97" t="s">
        <v>221</v>
      </c>
      <c r="E251" s="8">
        <v>6000</v>
      </c>
      <c r="F251" s="26"/>
      <c r="G251" s="6"/>
      <c r="H251" s="26"/>
      <c r="I251" s="6"/>
      <c r="J251" s="26"/>
      <c r="K251" s="6"/>
      <c r="L251" s="26"/>
      <c r="M251" s="6"/>
      <c r="N251" s="96"/>
    </row>
    <row r="252" spans="2:14" x14ac:dyDescent="0.25">
      <c r="B252" s="43">
        <v>248</v>
      </c>
      <c r="C252" s="93"/>
      <c r="D252" s="97" t="s">
        <v>222</v>
      </c>
      <c r="E252" s="8">
        <v>3818</v>
      </c>
      <c r="F252" s="26"/>
      <c r="G252" s="6"/>
      <c r="H252" s="26"/>
      <c r="I252" s="6"/>
      <c r="J252" s="26"/>
      <c r="K252" s="6"/>
      <c r="L252" s="26"/>
      <c r="M252" s="6"/>
      <c r="N252" s="96"/>
    </row>
    <row r="253" spans="2:14" x14ac:dyDescent="0.25">
      <c r="B253" s="43">
        <v>249</v>
      </c>
      <c r="C253" s="93"/>
      <c r="D253" s="97" t="s">
        <v>223</v>
      </c>
      <c r="E253" s="8">
        <v>1300</v>
      </c>
      <c r="F253" s="26"/>
      <c r="G253" s="6"/>
      <c r="H253" s="26"/>
      <c r="I253" s="6"/>
      <c r="J253" s="26"/>
      <c r="K253" s="6"/>
      <c r="L253" s="26"/>
      <c r="M253" s="6"/>
      <c r="N253" s="96"/>
    </row>
    <row r="254" spans="2:14" x14ac:dyDescent="0.25">
      <c r="B254" s="43">
        <v>250</v>
      </c>
      <c r="C254" s="6" t="s">
        <v>613</v>
      </c>
      <c r="D254" s="97" t="s">
        <v>224</v>
      </c>
      <c r="E254" s="8">
        <v>16200</v>
      </c>
      <c r="F254" s="26"/>
      <c r="G254" s="6"/>
      <c r="H254" s="26"/>
      <c r="I254" s="6"/>
      <c r="J254" s="26"/>
      <c r="K254" s="6"/>
      <c r="L254" s="26"/>
      <c r="M254" s="6"/>
      <c r="N254" s="96"/>
    </row>
    <row r="255" spans="2:14" x14ac:dyDescent="0.25">
      <c r="B255" s="43">
        <v>251</v>
      </c>
      <c r="C255" s="6" t="s">
        <v>614</v>
      </c>
      <c r="D255" s="97" t="s">
        <v>225</v>
      </c>
      <c r="E255" s="8">
        <v>21600</v>
      </c>
      <c r="F255" s="26"/>
      <c r="G255" s="6"/>
      <c r="H255" s="26"/>
      <c r="I255" s="6"/>
      <c r="J255" s="26"/>
      <c r="K255" s="6"/>
      <c r="L255" s="26"/>
      <c r="M255" s="6"/>
      <c r="N255" s="96"/>
    </row>
    <row r="256" spans="2:14" x14ac:dyDescent="0.25">
      <c r="B256" s="43">
        <v>252</v>
      </c>
      <c r="C256" s="6" t="s">
        <v>615</v>
      </c>
      <c r="D256" s="97" t="s">
        <v>226</v>
      </c>
      <c r="E256" s="8">
        <v>19250</v>
      </c>
      <c r="F256" s="26"/>
      <c r="G256" s="6"/>
      <c r="H256" s="26"/>
      <c r="I256" s="6"/>
      <c r="J256" s="26"/>
      <c r="K256" s="6"/>
      <c r="L256" s="26"/>
      <c r="M256" s="6"/>
      <c r="N256" s="96"/>
    </row>
    <row r="257" spans="2:14" x14ac:dyDescent="0.25">
      <c r="B257" s="43">
        <v>253</v>
      </c>
      <c r="C257" s="6" t="s">
        <v>616</v>
      </c>
      <c r="D257" s="97" t="s">
        <v>227</v>
      </c>
      <c r="E257" s="8">
        <v>10800</v>
      </c>
      <c r="F257" s="26"/>
      <c r="G257" s="6"/>
      <c r="H257" s="26"/>
      <c r="I257" s="6"/>
      <c r="J257" s="26"/>
      <c r="K257" s="6"/>
      <c r="L257" s="26"/>
      <c r="M257" s="6"/>
      <c r="N257" s="96"/>
    </row>
    <row r="258" spans="2:14" x14ac:dyDescent="0.25">
      <c r="B258" s="43">
        <v>254</v>
      </c>
      <c r="C258" s="6" t="s">
        <v>617</v>
      </c>
      <c r="D258" s="97" t="s">
        <v>228</v>
      </c>
      <c r="E258" s="8">
        <v>17300</v>
      </c>
      <c r="F258" s="26"/>
      <c r="G258" s="6"/>
      <c r="H258" s="26"/>
      <c r="I258" s="6"/>
      <c r="J258" s="26"/>
      <c r="K258" s="6"/>
      <c r="L258" s="26"/>
      <c r="M258" s="6"/>
      <c r="N258" s="96"/>
    </row>
    <row r="259" spans="2:14" x14ac:dyDescent="0.25">
      <c r="B259" s="43">
        <v>255</v>
      </c>
      <c r="C259" s="6" t="s">
        <v>614</v>
      </c>
      <c r="D259" s="97" t="s">
        <v>229</v>
      </c>
      <c r="E259" s="8">
        <v>12960</v>
      </c>
      <c r="F259" s="26"/>
      <c r="G259" s="6"/>
      <c r="H259" s="26"/>
      <c r="I259" s="6"/>
      <c r="J259" s="26"/>
      <c r="K259" s="6"/>
      <c r="L259" s="26"/>
      <c r="M259" s="6"/>
      <c r="N259" s="96"/>
    </row>
    <row r="260" spans="2:14" x14ac:dyDescent="0.25">
      <c r="B260" s="43">
        <v>256</v>
      </c>
      <c r="C260" s="6" t="s">
        <v>614</v>
      </c>
      <c r="D260" s="97" t="s">
        <v>230</v>
      </c>
      <c r="E260" s="8">
        <v>9000</v>
      </c>
      <c r="F260" s="26"/>
      <c r="G260" s="6"/>
      <c r="H260" s="26"/>
      <c r="I260" s="6"/>
      <c r="J260" s="26"/>
      <c r="K260" s="6"/>
      <c r="L260" s="26"/>
      <c r="M260" s="6"/>
      <c r="N260" s="96"/>
    </row>
    <row r="261" spans="2:14" x14ac:dyDescent="0.25">
      <c r="B261" s="43">
        <v>257</v>
      </c>
      <c r="C261" s="6" t="s">
        <v>614</v>
      </c>
      <c r="D261" s="97" t="s">
        <v>231</v>
      </c>
      <c r="E261" s="8">
        <v>5400</v>
      </c>
      <c r="F261" s="26"/>
      <c r="G261" s="6"/>
      <c r="H261" s="26"/>
      <c r="I261" s="6"/>
      <c r="J261" s="26"/>
      <c r="K261" s="6"/>
      <c r="L261" s="26"/>
      <c r="M261" s="6"/>
      <c r="N261" s="96"/>
    </row>
    <row r="262" spans="2:14" x14ac:dyDescent="0.25">
      <c r="B262" s="43">
        <v>258</v>
      </c>
      <c r="C262" s="6" t="s">
        <v>614</v>
      </c>
      <c r="D262" s="97" t="s">
        <v>232</v>
      </c>
      <c r="E262" s="8">
        <v>6300</v>
      </c>
      <c r="F262" s="26"/>
      <c r="G262" s="6"/>
      <c r="H262" s="26"/>
      <c r="I262" s="6"/>
      <c r="J262" s="26"/>
      <c r="K262" s="6"/>
      <c r="L262" s="26"/>
      <c r="M262" s="6"/>
      <c r="N262" s="96"/>
    </row>
    <row r="263" spans="2:14" x14ac:dyDescent="0.25">
      <c r="B263" s="43">
        <v>259</v>
      </c>
      <c r="C263" s="6" t="s">
        <v>614</v>
      </c>
      <c r="D263" s="97" t="s">
        <v>233</v>
      </c>
      <c r="E263" s="8">
        <v>8100</v>
      </c>
      <c r="F263" s="26"/>
      <c r="G263" s="6"/>
      <c r="H263" s="26"/>
      <c r="I263" s="6"/>
      <c r="J263" s="26"/>
      <c r="K263" s="6"/>
      <c r="L263" s="26"/>
      <c r="M263" s="6"/>
      <c r="N263" s="96"/>
    </row>
    <row r="264" spans="2:14" x14ac:dyDescent="0.25">
      <c r="B264" s="43">
        <v>260</v>
      </c>
      <c r="C264" s="6" t="s">
        <v>614</v>
      </c>
      <c r="D264" s="97" t="s">
        <v>234</v>
      </c>
      <c r="E264" s="8">
        <v>10800</v>
      </c>
      <c r="F264" s="26"/>
      <c r="G264" s="6"/>
      <c r="H264" s="26"/>
      <c r="I264" s="6"/>
      <c r="J264" s="26"/>
      <c r="K264" s="6"/>
      <c r="L264" s="26"/>
      <c r="M264" s="6"/>
      <c r="N264" s="96"/>
    </row>
    <row r="265" spans="2:14" x14ac:dyDescent="0.25">
      <c r="B265" s="43">
        <v>261</v>
      </c>
      <c r="C265" s="6" t="s">
        <v>614</v>
      </c>
      <c r="D265" s="97" t="s">
        <v>235</v>
      </c>
      <c r="E265" s="8">
        <v>13500</v>
      </c>
      <c r="F265" s="26"/>
      <c r="G265" s="6"/>
      <c r="H265" s="26"/>
      <c r="I265" s="6"/>
      <c r="J265" s="26"/>
      <c r="K265" s="6"/>
      <c r="L265" s="26"/>
      <c r="M265" s="6"/>
      <c r="N265" s="96"/>
    </row>
    <row r="266" spans="2:14" x14ac:dyDescent="0.25">
      <c r="B266" s="43">
        <v>262</v>
      </c>
      <c r="C266" s="6" t="s">
        <v>614</v>
      </c>
      <c r="D266" s="97" t="s">
        <v>236</v>
      </c>
      <c r="E266" s="8">
        <v>8100</v>
      </c>
      <c r="F266" s="26"/>
      <c r="G266" s="6"/>
      <c r="H266" s="26"/>
      <c r="I266" s="6"/>
      <c r="J266" s="26"/>
      <c r="K266" s="6"/>
      <c r="L266" s="26"/>
      <c r="M266" s="6"/>
      <c r="N266" s="96"/>
    </row>
    <row r="267" spans="2:14" x14ac:dyDescent="0.25">
      <c r="B267" s="43">
        <v>263</v>
      </c>
      <c r="C267" s="6" t="s">
        <v>614</v>
      </c>
      <c r="D267" s="97" t="s">
        <v>237</v>
      </c>
      <c r="E267" s="8">
        <v>6000</v>
      </c>
      <c r="F267" s="26"/>
      <c r="G267" s="6"/>
      <c r="H267" s="26"/>
      <c r="I267" s="6"/>
      <c r="J267" s="26"/>
      <c r="K267" s="6"/>
      <c r="L267" s="26"/>
      <c r="M267" s="6"/>
      <c r="N267" s="96"/>
    </row>
    <row r="268" spans="2:14" x14ac:dyDescent="0.25">
      <c r="B268" s="43">
        <v>264</v>
      </c>
      <c r="C268" s="6" t="s">
        <v>614</v>
      </c>
      <c r="D268" s="97" t="s">
        <v>238</v>
      </c>
      <c r="E268" s="8">
        <v>30800</v>
      </c>
      <c r="F268" s="26"/>
      <c r="G268" s="6"/>
      <c r="H268" s="26"/>
      <c r="I268" s="6"/>
      <c r="J268" s="26"/>
      <c r="K268" s="6"/>
      <c r="L268" s="26"/>
      <c r="M268" s="6"/>
      <c r="N268" s="96"/>
    </row>
    <row r="269" spans="2:14" x14ac:dyDescent="0.25">
      <c r="B269" s="43">
        <v>265</v>
      </c>
      <c r="C269" s="6" t="s">
        <v>614</v>
      </c>
      <c r="D269" s="97" t="s">
        <v>239</v>
      </c>
      <c r="E269" s="8">
        <v>13500</v>
      </c>
      <c r="F269" s="26"/>
      <c r="G269" s="6"/>
      <c r="H269" s="26"/>
      <c r="I269" s="6"/>
      <c r="J269" s="26"/>
      <c r="K269" s="6"/>
      <c r="L269" s="26"/>
      <c r="M269" s="6"/>
      <c r="N269" s="96"/>
    </row>
    <row r="270" spans="2:14" x14ac:dyDescent="0.25">
      <c r="B270" s="43">
        <v>266</v>
      </c>
      <c r="C270" s="6" t="s">
        <v>614</v>
      </c>
      <c r="D270" s="97" t="s">
        <v>240</v>
      </c>
      <c r="E270" s="8">
        <v>5100</v>
      </c>
      <c r="F270" s="26" t="s">
        <v>389</v>
      </c>
      <c r="G270" s="6"/>
      <c r="H270" s="26"/>
      <c r="I270" s="6"/>
      <c r="J270" s="26"/>
      <c r="K270" s="6"/>
      <c r="L270" s="26"/>
      <c r="M270" s="6"/>
      <c r="N270" s="96"/>
    </row>
    <row r="271" spans="2:14" x14ac:dyDescent="0.25">
      <c r="B271" s="43">
        <v>267</v>
      </c>
      <c r="C271" s="6" t="s">
        <v>614</v>
      </c>
      <c r="D271" s="97" t="s">
        <v>241</v>
      </c>
      <c r="E271" s="8">
        <v>15300</v>
      </c>
      <c r="F271" s="26" t="s">
        <v>389</v>
      </c>
      <c r="G271" s="6"/>
      <c r="H271" s="26"/>
      <c r="I271" s="6"/>
      <c r="J271" s="26"/>
      <c r="K271" s="6"/>
      <c r="L271" s="26"/>
      <c r="M271" s="6"/>
      <c r="N271" s="96"/>
    </row>
    <row r="272" spans="2:14" x14ac:dyDescent="0.25">
      <c r="B272" s="43">
        <v>268</v>
      </c>
      <c r="C272" s="6" t="s">
        <v>614</v>
      </c>
      <c r="D272" s="97" t="s">
        <v>242</v>
      </c>
      <c r="E272" s="8">
        <v>11900</v>
      </c>
      <c r="F272" s="26" t="s">
        <v>389</v>
      </c>
      <c r="G272" s="6"/>
      <c r="H272" s="26"/>
      <c r="I272" s="6"/>
      <c r="J272" s="26"/>
      <c r="K272" s="6"/>
      <c r="L272" s="26"/>
      <c r="M272" s="6"/>
      <c r="N272" s="96"/>
    </row>
    <row r="273" spans="2:14" x14ac:dyDescent="0.25">
      <c r="B273" s="43">
        <v>269</v>
      </c>
      <c r="C273" s="6" t="s">
        <v>621</v>
      </c>
      <c r="D273" s="97" t="s">
        <v>243</v>
      </c>
      <c r="E273" s="8">
        <v>1900</v>
      </c>
      <c r="F273" s="26"/>
      <c r="G273" s="6"/>
      <c r="H273" s="26"/>
      <c r="I273" s="6"/>
      <c r="J273" s="26"/>
      <c r="K273" s="6"/>
      <c r="L273" s="26"/>
      <c r="M273" s="6"/>
      <c r="N273" s="96"/>
    </row>
    <row r="274" spans="2:14" x14ac:dyDescent="0.25">
      <c r="B274" s="43">
        <v>270</v>
      </c>
      <c r="C274" s="6" t="s">
        <v>622</v>
      </c>
      <c r="D274" s="97" t="s">
        <v>244</v>
      </c>
      <c r="E274" s="8">
        <v>4440</v>
      </c>
      <c r="F274" s="26"/>
      <c r="G274" s="6"/>
      <c r="H274" s="26"/>
      <c r="I274" s="6"/>
      <c r="J274" s="26"/>
      <c r="K274" s="6"/>
      <c r="L274" s="26"/>
      <c r="M274" s="6"/>
      <c r="N274" s="96"/>
    </row>
    <row r="275" spans="2:14" x14ac:dyDescent="0.25">
      <c r="B275" s="43">
        <v>271</v>
      </c>
      <c r="C275" s="6" t="s">
        <v>689</v>
      </c>
      <c r="D275" s="97" t="s">
        <v>245</v>
      </c>
      <c r="E275" s="8">
        <v>4600</v>
      </c>
      <c r="F275" s="26"/>
      <c r="G275" s="6"/>
      <c r="H275" s="26"/>
      <c r="I275" s="6"/>
      <c r="J275" s="26"/>
      <c r="K275" s="6"/>
      <c r="L275" s="26"/>
      <c r="M275" s="6"/>
      <c r="N275" s="96"/>
    </row>
    <row r="276" spans="2:14" x14ac:dyDescent="0.25">
      <c r="B276" s="43">
        <v>272</v>
      </c>
      <c r="C276" s="6" t="s">
        <v>835</v>
      </c>
      <c r="D276" s="97" t="s">
        <v>836</v>
      </c>
      <c r="E276" s="8">
        <v>4600</v>
      </c>
      <c r="F276" s="26"/>
      <c r="G276" s="6"/>
      <c r="H276" s="26"/>
      <c r="I276" s="6"/>
      <c r="J276" s="26"/>
      <c r="K276" s="6"/>
      <c r="L276" s="26"/>
      <c r="M276" s="6"/>
      <c r="N276" s="96"/>
    </row>
    <row r="277" spans="2:14" x14ac:dyDescent="0.25">
      <c r="B277" s="43">
        <v>273</v>
      </c>
      <c r="C277" s="6" t="s">
        <v>623</v>
      </c>
      <c r="D277" s="97" t="s">
        <v>247</v>
      </c>
      <c r="E277" s="8">
        <v>6000</v>
      </c>
      <c r="F277" s="26"/>
      <c r="G277" s="6"/>
      <c r="H277" s="26"/>
      <c r="I277" s="6"/>
      <c r="J277" s="26"/>
      <c r="K277" s="6"/>
      <c r="L277" s="26"/>
      <c r="M277" s="6"/>
      <c r="N277" s="96"/>
    </row>
    <row r="278" spans="2:14" x14ac:dyDescent="0.25">
      <c r="B278" s="43">
        <v>274</v>
      </c>
      <c r="C278" s="6" t="s">
        <v>624</v>
      </c>
      <c r="D278" s="97" t="s">
        <v>248</v>
      </c>
      <c r="E278" s="8">
        <v>1300</v>
      </c>
      <c r="F278" s="26"/>
      <c r="G278" s="6"/>
      <c r="H278" s="26"/>
      <c r="I278" s="6"/>
      <c r="J278" s="26"/>
      <c r="K278" s="6"/>
      <c r="L278" s="26"/>
      <c r="M278" s="6"/>
      <c r="N278" s="96"/>
    </row>
    <row r="279" spans="2:14" x14ac:dyDescent="0.25">
      <c r="B279" s="43">
        <v>275</v>
      </c>
      <c r="C279" s="93"/>
      <c r="D279" s="97" t="s">
        <v>249</v>
      </c>
      <c r="E279" s="8">
        <v>2600</v>
      </c>
      <c r="F279" s="26"/>
      <c r="G279" s="6"/>
      <c r="H279" s="26"/>
      <c r="I279" s="6"/>
      <c r="J279" s="26"/>
      <c r="K279" s="6"/>
      <c r="L279" s="26"/>
      <c r="M279" s="6"/>
      <c r="N279" s="96"/>
    </row>
    <row r="280" spans="2:14" x14ac:dyDescent="0.25">
      <c r="B280" s="43">
        <v>276</v>
      </c>
      <c r="C280" s="6" t="s">
        <v>625</v>
      </c>
      <c r="D280" s="97" t="s">
        <v>250</v>
      </c>
      <c r="E280" s="8">
        <v>20500</v>
      </c>
      <c r="F280" s="26"/>
      <c r="G280" s="6"/>
      <c r="H280" s="26"/>
      <c r="I280" s="6"/>
      <c r="J280" s="26"/>
      <c r="K280" s="6"/>
      <c r="L280" s="26"/>
      <c r="M280" s="6"/>
      <c r="N280" s="96"/>
    </row>
    <row r="281" spans="2:14" x14ac:dyDescent="0.25">
      <c r="B281" s="43">
        <v>277</v>
      </c>
      <c r="C281" s="6" t="s">
        <v>626</v>
      </c>
      <c r="D281" s="97" t="s">
        <v>251</v>
      </c>
      <c r="E281" s="8">
        <v>4100</v>
      </c>
      <c r="F281" s="26"/>
      <c r="G281" s="6"/>
      <c r="H281" s="26"/>
      <c r="I281" s="6"/>
      <c r="J281" s="26"/>
      <c r="K281" s="6"/>
      <c r="L281" s="26"/>
      <c r="M281" s="6"/>
      <c r="N281" s="96"/>
    </row>
    <row r="282" spans="2:14" x14ac:dyDescent="0.25">
      <c r="B282" s="43">
        <v>278</v>
      </c>
      <c r="C282" s="6" t="s">
        <v>627</v>
      </c>
      <c r="D282" s="97" t="s">
        <v>252</v>
      </c>
      <c r="E282" s="8">
        <v>1025</v>
      </c>
      <c r="F282" s="26" t="s">
        <v>348</v>
      </c>
      <c r="G282" s="6"/>
      <c r="H282" s="26"/>
      <c r="I282" s="6"/>
      <c r="J282" s="26"/>
      <c r="K282" s="6"/>
      <c r="L282" s="26"/>
      <c r="M282" s="6"/>
      <c r="N282" s="96"/>
    </row>
    <row r="283" spans="2:14" x14ac:dyDescent="0.25">
      <c r="B283" s="43">
        <v>279</v>
      </c>
      <c r="C283" s="6" t="s">
        <v>628</v>
      </c>
      <c r="D283" s="97" t="s">
        <v>253</v>
      </c>
      <c r="E283" s="8">
        <v>15750</v>
      </c>
      <c r="F283" s="26"/>
      <c r="G283" s="6"/>
      <c r="H283" s="26"/>
      <c r="I283" s="6"/>
      <c r="J283" s="26"/>
      <c r="K283" s="6"/>
      <c r="L283" s="26"/>
      <c r="M283" s="6"/>
      <c r="N283" s="96"/>
    </row>
    <row r="284" spans="2:14" x14ac:dyDescent="0.25">
      <c r="B284" s="43">
        <v>280</v>
      </c>
      <c r="C284" s="6" t="s">
        <v>629</v>
      </c>
      <c r="D284" s="97" t="s">
        <v>254</v>
      </c>
      <c r="E284" s="8">
        <v>31500</v>
      </c>
      <c r="F284" s="26"/>
      <c r="G284" s="6"/>
      <c r="H284" s="26"/>
      <c r="I284" s="6"/>
      <c r="J284" s="26"/>
      <c r="K284" s="6"/>
      <c r="L284" s="26"/>
      <c r="M284" s="6"/>
      <c r="N284" s="96"/>
    </row>
    <row r="285" spans="2:14" x14ac:dyDescent="0.25">
      <c r="B285" s="43">
        <v>281</v>
      </c>
      <c r="C285" s="6" t="s">
        <v>630</v>
      </c>
      <c r="D285" s="97" t="s">
        <v>255</v>
      </c>
      <c r="E285" s="8">
        <v>47250</v>
      </c>
      <c r="F285" s="26"/>
      <c r="G285" s="6"/>
      <c r="H285" s="26"/>
      <c r="I285" s="6"/>
      <c r="J285" s="26"/>
      <c r="K285" s="6"/>
      <c r="L285" s="26"/>
      <c r="M285" s="6"/>
      <c r="N285" s="96"/>
    </row>
    <row r="286" spans="2:14" x14ac:dyDescent="0.25">
      <c r="B286" s="43">
        <v>282</v>
      </c>
      <c r="C286" s="6" t="s">
        <v>631</v>
      </c>
      <c r="D286" s="97" t="s">
        <v>256</v>
      </c>
      <c r="E286" s="8">
        <v>63000</v>
      </c>
      <c r="F286" s="26"/>
      <c r="G286" s="6"/>
      <c r="H286" s="26"/>
      <c r="I286" s="6"/>
      <c r="J286" s="26"/>
      <c r="K286" s="6"/>
      <c r="L286" s="26"/>
      <c r="M286" s="6"/>
      <c r="N286" s="96"/>
    </row>
    <row r="287" spans="2:14" x14ac:dyDescent="0.25">
      <c r="B287" s="43">
        <v>283</v>
      </c>
      <c r="C287" s="6" t="s">
        <v>632</v>
      </c>
      <c r="D287" s="97" t="s">
        <v>257</v>
      </c>
      <c r="E287" s="8">
        <v>650000</v>
      </c>
      <c r="F287" s="26"/>
      <c r="G287" s="6"/>
      <c r="H287" s="26"/>
      <c r="I287" s="6"/>
      <c r="J287" s="26"/>
      <c r="K287" s="6"/>
      <c r="L287" s="26"/>
      <c r="M287" s="6"/>
      <c r="N287" s="96"/>
    </row>
    <row r="288" spans="2:14" x14ac:dyDescent="0.25">
      <c r="B288" s="43">
        <v>284</v>
      </c>
      <c r="C288" s="6" t="s">
        <v>633</v>
      </c>
      <c r="D288" s="97" t="s">
        <v>258</v>
      </c>
      <c r="E288" s="8">
        <v>390000</v>
      </c>
      <c r="F288" s="26"/>
      <c r="G288" s="6"/>
      <c r="H288" s="26"/>
      <c r="I288" s="6"/>
      <c r="J288" s="26"/>
      <c r="K288" s="6"/>
      <c r="L288" s="26"/>
      <c r="M288" s="6"/>
      <c r="N288" s="96"/>
    </row>
    <row r="289" spans="2:14" x14ac:dyDescent="0.25">
      <c r="B289" s="43">
        <v>285</v>
      </c>
      <c r="C289" s="6" t="s">
        <v>634</v>
      </c>
      <c r="D289" s="97" t="s">
        <v>259</v>
      </c>
      <c r="E289" s="8">
        <v>7900</v>
      </c>
      <c r="F289" s="26"/>
      <c r="G289" s="6"/>
      <c r="H289" s="26"/>
      <c r="I289" s="6"/>
      <c r="J289" s="26"/>
      <c r="K289" s="6"/>
      <c r="L289" s="26"/>
      <c r="M289" s="6"/>
      <c r="N289" s="96"/>
    </row>
    <row r="290" spans="2:14" x14ac:dyDescent="0.25">
      <c r="B290" s="43">
        <v>286</v>
      </c>
      <c r="C290" s="93" t="s">
        <v>682</v>
      </c>
      <c r="D290" s="97" t="s">
        <v>410</v>
      </c>
      <c r="E290" s="8">
        <v>4000</v>
      </c>
      <c r="F290" s="26"/>
      <c r="G290" s="6"/>
      <c r="H290" s="26"/>
      <c r="I290" s="6"/>
      <c r="J290" s="26"/>
      <c r="K290" s="6"/>
      <c r="L290" s="26"/>
      <c r="M290" s="6"/>
      <c r="N290" s="96"/>
    </row>
    <row r="291" spans="2:14" x14ac:dyDescent="0.25">
      <c r="B291" s="43">
        <v>287</v>
      </c>
      <c r="C291" s="6" t="s">
        <v>635</v>
      </c>
      <c r="D291" s="97" t="s">
        <v>260</v>
      </c>
      <c r="E291" s="8">
        <v>1100</v>
      </c>
      <c r="F291" s="26"/>
      <c r="G291" s="6"/>
      <c r="H291" s="26"/>
      <c r="I291" s="6"/>
      <c r="J291" s="26"/>
      <c r="K291" s="6"/>
      <c r="L291" s="26"/>
      <c r="M291" s="6"/>
      <c r="N291" s="96"/>
    </row>
    <row r="292" spans="2:14" x14ac:dyDescent="0.25">
      <c r="B292" s="43">
        <v>288</v>
      </c>
      <c r="C292" s="93" t="s">
        <v>686</v>
      </c>
      <c r="D292" s="97" t="s">
        <v>703</v>
      </c>
      <c r="E292" s="8">
        <v>2000</v>
      </c>
      <c r="F292" s="26"/>
      <c r="G292" s="6"/>
      <c r="H292" s="26"/>
      <c r="I292" s="6"/>
      <c r="J292" s="26"/>
      <c r="K292" s="6"/>
      <c r="L292" s="26"/>
      <c r="M292" s="6"/>
      <c r="N292" s="96"/>
    </row>
    <row r="293" spans="2:14" x14ac:dyDescent="0.25">
      <c r="B293" s="43">
        <v>289</v>
      </c>
      <c r="C293" s="93" t="s">
        <v>682</v>
      </c>
      <c r="D293" s="97" t="s">
        <v>702</v>
      </c>
      <c r="E293" s="8">
        <v>4000</v>
      </c>
      <c r="F293" s="26"/>
      <c r="G293" s="6"/>
      <c r="H293" s="26"/>
      <c r="I293" s="6"/>
      <c r="J293" s="26"/>
      <c r="K293" s="6"/>
      <c r="L293" s="26"/>
      <c r="M293" s="6"/>
      <c r="N293" s="96"/>
    </row>
    <row r="294" spans="2:14" x14ac:dyDescent="0.25">
      <c r="B294" s="43">
        <v>290</v>
      </c>
      <c r="C294" s="93" t="s">
        <v>691</v>
      </c>
      <c r="D294" s="97" t="s">
        <v>1004</v>
      </c>
      <c r="E294" s="8">
        <v>8000</v>
      </c>
      <c r="F294" s="26"/>
      <c r="G294" s="6"/>
      <c r="H294" s="26"/>
      <c r="I294" s="6"/>
      <c r="J294" s="26"/>
      <c r="K294" s="6"/>
      <c r="L294" s="26"/>
      <c r="M294" s="6"/>
      <c r="N294" s="96"/>
    </row>
    <row r="295" spans="2:14" x14ac:dyDescent="0.25">
      <c r="B295" s="43">
        <v>291</v>
      </c>
      <c r="C295" s="6" t="s">
        <v>636</v>
      </c>
      <c r="D295" s="97" t="s">
        <v>262</v>
      </c>
      <c r="E295" s="8">
        <v>3150</v>
      </c>
      <c r="F295" s="26"/>
      <c r="G295" s="6"/>
      <c r="H295" s="26"/>
      <c r="I295" s="6"/>
      <c r="J295" s="26"/>
      <c r="K295" s="6"/>
      <c r="L295" s="26"/>
      <c r="M295" s="6"/>
      <c r="N295" s="96"/>
    </row>
    <row r="296" spans="2:14" x14ac:dyDescent="0.25">
      <c r="B296" s="43">
        <v>292</v>
      </c>
      <c r="C296" s="6" t="s">
        <v>637</v>
      </c>
      <c r="D296" s="97" t="s">
        <v>263</v>
      </c>
      <c r="E296" s="8">
        <v>3900</v>
      </c>
      <c r="F296" s="26"/>
      <c r="G296" s="6"/>
      <c r="H296" s="26"/>
      <c r="I296" s="6"/>
      <c r="J296" s="26"/>
      <c r="K296" s="6"/>
      <c r="L296" s="26"/>
      <c r="M296" s="6"/>
      <c r="N296" s="96"/>
    </row>
    <row r="297" spans="2:14" x14ac:dyDescent="0.25">
      <c r="B297" s="43">
        <v>293</v>
      </c>
      <c r="C297" s="93" t="s">
        <v>692</v>
      </c>
      <c r="D297" s="97" t="s">
        <v>264</v>
      </c>
      <c r="E297" s="8">
        <v>3150</v>
      </c>
      <c r="F297" s="26"/>
      <c r="G297" s="6"/>
      <c r="H297" s="26"/>
      <c r="I297" s="6"/>
      <c r="J297" s="26"/>
      <c r="K297" s="6"/>
      <c r="L297" s="26"/>
      <c r="M297" s="6"/>
      <c r="N297" s="96"/>
    </row>
    <row r="298" spans="2:14" x14ac:dyDescent="0.25">
      <c r="B298" s="43">
        <v>294</v>
      </c>
      <c r="C298" s="6" t="s">
        <v>638</v>
      </c>
      <c r="D298" s="97" t="s">
        <v>265</v>
      </c>
      <c r="E298" s="8">
        <v>4050</v>
      </c>
      <c r="F298" s="26"/>
      <c r="G298" s="6"/>
      <c r="H298" s="26"/>
      <c r="I298" s="6"/>
      <c r="J298" s="26"/>
      <c r="K298" s="6"/>
      <c r="L298" s="26"/>
      <c r="M298" s="6"/>
      <c r="N298" s="96"/>
    </row>
    <row r="299" spans="2:14" x14ac:dyDescent="0.25">
      <c r="B299" s="43">
        <v>295</v>
      </c>
      <c r="C299" s="6" t="s">
        <v>623</v>
      </c>
      <c r="D299" s="97" t="s">
        <v>266</v>
      </c>
      <c r="E299" s="8">
        <v>6000</v>
      </c>
      <c r="F299" s="26"/>
      <c r="G299" s="6"/>
      <c r="H299" s="26"/>
      <c r="I299" s="6"/>
      <c r="J299" s="26"/>
      <c r="K299" s="6"/>
      <c r="L299" s="26"/>
      <c r="M299" s="6"/>
      <c r="N299" s="96"/>
    </row>
    <row r="300" spans="2:14" x14ac:dyDescent="0.25">
      <c r="B300" s="43">
        <v>296</v>
      </c>
      <c r="C300" s="108" t="s">
        <v>487</v>
      </c>
      <c r="D300" s="97" t="s">
        <v>267</v>
      </c>
      <c r="E300" s="8">
        <v>12600</v>
      </c>
      <c r="F300" s="26"/>
      <c r="G300" s="6"/>
      <c r="H300" s="26"/>
      <c r="I300" s="6"/>
      <c r="J300" s="26"/>
      <c r="K300" s="6"/>
      <c r="L300" s="26"/>
      <c r="M300" s="6"/>
      <c r="N300" s="96"/>
    </row>
    <row r="301" spans="2:14" x14ac:dyDescent="0.25">
      <c r="B301" s="43">
        <v>297</v>
      </c>
      <c r="C301" s="108" t="s">
        <v>486</v>
      </c>
      <c r="D301" s="97" t="s">
        <v>268</v>
      </c>
      <c r="E301" s="8">
        <v>25200</v>
      </c>
      <c r="F301" s="26"/>
      <c r="G301" s="6"/>
      <c r="H301" s="26"/>
      <c r="I301" s="6"/>
      <c r="J301" s="26"/>
      <c r="K301" s="6"/>
      <c r="L301" s="26"/>
      <c r="M301" s="6"/>
      <c r="N301" s="96"/>
    </row>
    <row r="302" spans="2:14" x14ac:dyDescent="0.25">
      <c r="B302" s="43">
        <v>298</v>
      </c>
      <c r="C302" s="108" t="s">
        <v>489</v>
      </c>
      <c r="D302" s="97" t="s">
        <v>269</v>
      </c>
      <c r="E302" s="8">
        <v>37800</v>
      </c>
      <c r="F302" s="26"/>
      <c r="G302" s="6"/>
      <c r="H302" s="26"/>
      <c r="I302" s="6"/>
      <c r="J302" s="26"/>
      <c r="K302" s="6"/>
      <c r="L302" s="26"/>
      <c r="M302" s="6"/>
      <c r="N302" s="96"/>
    </row>
    <row r="303" spans="2:14" x14ac:dyDescent="0.25">
      <c r="B303" s="43">
        <v>299</v>
      </c>
      <c r="C303" s="108" t="s">
        <v>488</v>
      </c>
      <c r="D303" s="97" t="s">
        <v>270</v>
      </c>
      <c r="E303" s="8">
        <v>50400</v>
      </c>
      <c r="F303" s="26"/>
      <c r="G303" s="6"/>
      <c r="H303" s="26"/>
      <c r="I303" s="6"/>
      <c r="J303" s="26"/>
      <c r="K303" s="6"/>
      <c r="L303" s="26"/>
      <c r="M303" s="6"/>
      <c r="N303" s="96"/>
    </row>
    <row r="304" spans="2:14" x14ac:dyDescent="0.25">
      <c r="B304" s="43">
        <v>300</v>
      </c>
      <c r="C304" s="6" t="s">
        <v>639</v>
      </c>
      <c r="D304" s="97" t="s">
        <v>271</v>
      </c>
      <c r="E304" s="8">
        <v>520000</v>
      </c>
      <c r="F304" s="26"/>
      <c r="G304" s="6"/>
      <c r="H304" s="26"/>
      <c r="I304" s="6"/>
      <c r="J304" s="26"/>
      <c r="K304" s="6"/>
      <c r="L304" s="26"/>
      <c r="M304" s="6"/>
      <c r="N304" s="96"/>
    </row>
    <row r="305" spans="2:14" x14ac:dyDescent="0.25">
      <c r="B305" s="43">
        <v>301</v>
      </c>
      <c r="C305" s="6" t="s">
        <v>640</v>
      </c>
      <c r="D305" s="97" t="s">
        <v>272</v>
      </c>
      <c r="E305" s="8">
        <v>450</v>
      </c>
      <c r="F305" s="26"/>
      <c r="G305" s="6"/>
      <c r="H305" s="26"/>
      <c r="I305" s="6"/>
      <c r="J305" s="26"/>
      <c r="K305" s="6"/>
      <c r="L305" s="26"/>
      <c r="M305" s="6"/>
      <c r="N305" s="96"/>
    </row>
    <row r="306" spans="2:14" x14ac:dyDescent="0.25">
      <c r="B306" s="43">
        <v>302</v>
      </c>
      <c r="C306" s="6" t="s">
        <v>641</v>
      </c>
      <c r="D306" s="97" t="s">
        <v>273</v>
      </c>
      <c r="E306" s="8">
        <v>600</v>
      </c>
      <c r="F306" s="26"/>
      <c r="G306" s="6"/>
      <c r="H306" s="26"/>
      <c r="I306" s="6"/>
      <c r="J306" s="26"/>
      <c r="K306" s="6"/>
      <c r="L306" s="26"/>
      <c r="M306" s="6"/>
      <c r="N306" s="96"/>
    </row>
    <row r="307" spans="2:14" x14ac:dyDescent="0.25">
      <c r="B307" s="43">
        <v>303</v>
      </c>
      <c r="C307" s="6" t="s">
        <v>642</v>
      </c>
      <c r="D307" s="97" t="s">
        <v>274</v>
      </c>
      <c r="E307" s="8">
        <v>2520</v>
      </c>
      <c r="F307" s="26"/>
      <c r="G307" s="6"/>
      <c r="H307" s="26"/>
      <c r="I307" s="6"/>
      <c r="J307" s="26"/>
      <c r="K307" s="6"/>
      <c r="L307" s="26"/>
      <c r="M307" s="6"/>
      <c r="N307" s="96"/>
    </row>
    <row r="308" spans="2:14" x14ac:dyDescent="0.25">
      <c r="B308" s="43">
        <v>304</v>
      </c>
      <c r="C308" s="6" t="s">
        <v>643</v>
      </c>
      <c r="D308" s="97" t="s">
        <v>275</v>
      </c>
      <c r="E308" s="8">
        <v>5040</v>
      </c>
      <c r="F308" s="26"/>
      <c r="G308" s="6"/>
      <c r="H308" s="26"/>
      <c r="I308" s="6"/>
      <c r="J308" s="26"/>
      <c r="K308" s="6"/>
      <c r="L308" s="26"/>
      <c r="M308" s="6"/>
      <c r="N308" s="96"/>
    </row>
    <row r="309" spans="2:14" x14ac:dyDescent="0.25">
      <c r="B309" s="43">
        <v>305</v>
      </c>
      <c r="C309" s="6" t="s">
        <v>837</v>
      </c>
      <c r="D309" s="97" t="s">
        <v>276</v>
      </c>
      <c r="E309" s="8">
        <v>1650</v>
      </c>
      <c r="F309" s="26"/>
      <c r="G309" s="6"/>
      <c r="H309" s="26"/>
      <c r="I309" s="6"/>
      <c r="J309" s="26"/>
      <c r="K309" s="6"/>
      <c r="L309" s="26"/>
      <c r="M309" s="6"/>
      <c r="N309" s="96"/>
    </row>
    <row r="310" spans="2:14" x14ac:dyDescent="0.25">
      <c r="B310" s="43">
        <v>306</v>
      </c>
      <c r="C310" s="6" t="s">
        <v>834</v>
      </c>
      <c r="D310" s="97" t="s">
        <v>277</v>
      </c>
      <c r="E310" s="8">
        <v>5300</v>
      </c>
      <c r="F310" s="26"/>
      <c r="G310" s="6"/>
      <c r="H310" s="26"/>
      <c r="I310" s="6"/>
      <c r="J310" s="26"/>
      <c r="K310" s="6"/>
      <c r="L310" s="26"/>
      <c r="M310" s="6"/>
      <c r="N310" s="96"/>
    </row>
    <row r="311" spans="2:14" x14ac:dyDescent="0.25">
      <c r="B311" s="43">
        <v>307</v>
      </c>
      <c r="C311" s="6" t="s">
        <v>646</v>
      </c>
      <c r="D311" s="97" t="s">
        <v>278</v>
      </c>
      <c r="E311" s="8">
        <v>900</v>
      </c>
      <c r="F311" s="26"/>
      <c r="G311" s="6"/>
      <c r="H311" s="26"/>
      <c r="I311" s="6"/>
      <c r="J311" s="26"/>
      <c r="K311" s="6"/>
      <c r="L311" s="26"/>
      <c r="M311" s="6"/>
      <c r="N311" s="96"/>
    </row>
    <row r="312" spans="2:14" x14ac:dyDescent="0.25">
      <c r="B312" s="43">
        <v>308</v>
      </c>
      <c r="C312" s="6" t="s">
        <v>620</v>
      </c>
      <c r="D312" s="97" t="s">
        <v>279</v>
      </c>
      <c r="E312" s="8">
        <v>5400</v>
      </c>
      <c r="F312" s="26"/>
      <c r="G312" s="6"/>
      <c r="H312" s="26"/>
      <c r="I312" s="6"/>
      <c r="J312" s="26"/>
      <c r="K312" s="6"/>
      <c r="L312" s="26"/>
      <c r="M312" s="6"/>
      <c r="N312" s="96"/>
    </row>
    <row r="313" spans="2:14" x14ac:dyDescent="0.25">
      <c r="B313" s="43">
        <v>309</v>
      </c>
      <c r="C313" s="43" t="s">
        <v>620</v>
      </c>
      <c r="D313" s="97" t="s">
        <v>280</v>
      </c>
      <c r="E313" s="8">
        <v>5400</v>
      </c>
      <c r="F313" s="26" t="s">
        <v>348</v>
      </c>
      <c r="G313" s="6"/>
      <c r="H313" s="26"/>
      <c r="I313" s="6"/>
      <c r="J313" s="26"/>
      <c r="K313" s="6"/>
      <c r="L313" s="26"/>
      <c r="M313" s="6"/>
      <c r="N313" s="96"/>
    </row>
    <row r="314" spans="2:14" x14ac:dyDescent="0.25">
      <c r="B314" s="43">
        <v>310</v>
      </c>
      <c r="C314" s="6" t="s">
        <v>647</v>
      </c>
      <c r="D314" s="97" t="s">
        <v>281</v>
      </c>
      <c r="E314" s="8">
        <v>5400</v>
      </c>
      <c r="F314" s="26"/>
      <c r="G314" s="6"/>
      <c r="H314" s="26"/>
      <c r="I314" s="6"/>
      <c r="J314" s="26"/>
      <c r="K314" s="6"/>
      <c r="L314" s="26"/>
      <c r="M314" s="6"/>
      <c r="N314" s="96"/>
    </row>
    <row r="315" spans="2:14" x14ac:dyDescent="0.25">
      <c r="B315" s="43">
        <v>311</v>
      </c>
      <c r="C315" s="6" t="s">
        <v>776</v>
      </c>
      <c r="D315" s="97" t="s">
        <v>282</v>
      </c>
      <c r="E315" s="8">
        <v>2500</v>
      </c>
      <c r="F315" s="26"/>
      <c r="G315" s="6"/>
      <c r="H315" s="26"/>
      <c r="I315" s="6"/>
      <c r="J315" s="26"/>
      <c r="K315" s="6"/>
      <c r="L315" s="26"/>
      <c r="M315" s="6"/>
      <c r="N315" s="96"/>
    </row>
    <row r="316" spans="2:14" x14ac:dyDescent="0.25">
      <c r="B316" s="43">
        <v>312</v>
      </c>
      <c r="C316" s="6" t="s">
        <v>705</v>
      </c>
      <c r="D316" s="97" t="s">
        <v>283</v>
      </c>
      <c r="E316" s="8">
        <v>465000</v>
      </c>
      <c r="F316" s="26"/>
      <c r="G316" s="6"/>
      <c r="H316" s="26"/>
      <c r="I316" s="6"/>
      <c r="J316" s="26"/>
      <c r="K316" s="6"/>
      <c r="L316" s="26"/>
      <c r="M316" s="6"/>
      <c r="N316" s="96"/>
    </row>
    <row r="317" spans="2:14" x14ac:dyDescent="0.25">
      <c r="B317" s="43">
        <v>313</v>
      </c>
      <c r="C317" s="6" t="s">
        <v>649</v>
      </c>
      <c r="D317" s="97" t="s">
        <v>284</v>
      </c>
      <c r="E317" s="8">
        <v>1250</v>
      </c>
      <c r="F317" s="26"/>
      <c r="G317" s="6"/>
      <c r="H317" s="26"/>
      <c r="I317" s="6"/>
      <c r="J317" s="26"/>
      <c r="K317" s="6"/>
      <c r="L317" s="26"/>
      <c r="M317" s="6"/>
      <c r="N317" s="96"/>
    </row>
    <row r="318" spans="2:14" x14ac:dyDescent="0.25">
      <c r="B318" s="43">
        <v>314</v>
      </c>
      <c r="C318" s="6" t="s">
        <v>653</v>
      </c>
      <c r="D318" s="97" t="s">
        <v>285</v>
      </c>
      <c r="E318" s="8">
        <v>625</v>
      </c>
      <c r="F318" s="26"/>
      <c r="G318" s="6"/>
      <c r="H318" s="26"/>
      <c r="I318" s="6"/>
      <c r="J318" s="26"/>
      <c r="K318" s="6"/>
      <c r="L318" s="26"/>
      <c r="M318" s="6"/>
      <c r="N318" s="96"/>
    </row>
    <row r="319" spans="2:14" x14ac:dyDescent="0.25">
      <c r="B319" s="43">
        <v>315</v>
      </c>
      <c r="C319" s="6" t="s">
        <v>1003</v>
      </c>
      <c r="D319" s="97" t="s">
        <v>286</v>
      </c>
      <c r="E319" s="8">
        <v>180000</v>
      </c>
      <c r="F319" s="26"/>
      <c r="G319" s="6"/>
      <c r="H319" s="26"/>
      <c r="I319" s="6"/>
      <c r="J319" s="26"/>
      <c r="K319" s="6"/>
      <c r="L319" s="26"/>
      <c r="M319" s="6"/>
      <c r="N319" s="96"/>
    </row>
    <row r="320" spans="2:14" x14ac:dyDescent="0.25">
      <c r="B320" s="43">
        <v>316</v>
      </c>
      <c r="C320" s="6" t="s">
        <v>651</v>
      </c>
      <c r="D320" s="97" t="s">
        <v>287</v>
      </c>
      <c r="E320" s="8">
        <v>5000</v>
      </c>
      <c r="F320" s="26"/>
      <c r="G320" s="6"/>
      <c r="H320" s="26"/>
      <c r="I320" s="6"/>
      <c r="J320" s="26"/>
      <c r="K320" s="6"/>
      <c r="L320" s="26"/>
      <c r="M320" s="6"/>
      <c r="N320" s="96"/>
    </row>
    <row r="321" spans="2:14" x14ac:dyDescent="0.25">
      <c r="B321" s="43">
        <v>317</v>
      </c>
      <c r="C321" s="6" t="s">
        <v>650</v>
      </c>
      <c r="D321" s="97" t="s">
        <v>285</v>
      </c>
      <c r="E321" s="8">
        <v>1300</v>
      </c>
      <c r="F321" s="26"/>
      <c r="G321" s="6"/>
      <c r="H321" s="26"/>
      <c r="I321" s="6"/>
      <c r="J321" s="26"/>
      <c r="K321" s="6"/>
      <c r="L321" s="26"/>
      <c r="M321" s="6"/>
      <c r="N321" s="96"/>
    </row>
    <row r="322" spans="2:14" x14ac:dyDescent="0.25">
      <c r="B322" s="43">
        <v>318</v>
      </c>
      <c r="C322" s="108" t="s">
        <v>964</v>
      </c>
      <c r="D322" s="97" t="s">
        <v>288</v>
      </c>
      <c r="E322" s="8">
        <v>35800</v>
      </c>
      <c r="F322" s="26"/>
      <c r="G322" s="6"/>
      <c r="H322" s="26"/>
      <c r="I322" s="6"/>
      <c r="J322" s="26"/>
      <c r="K322" s="6"/>
      <c r="L322" s="26"/>
      <c r="M322" s="6"/>
      <c r="N322" s="96"/>
    </row>
    <row r="323" spans="2:14" x14ac:dyDescent="0.25">
      <c r="B323" s="43">
        <v>319</v>
      </c>
      <c r="C323" s="93"/>
      <c r="D323" s="97" t="s">
        <v>289</v>
      </c>
      <c r="E323" s="8">
        <v>295000</v>
      </c>
      <c r="F323" s="26"/>
      <c r="G323" s="6"/>
      <c r="H323" s="26"/>
      <c r="I323" s="6"/>
      <c r="J323" s="26"/>
      <c r="K323" s="6"/>
      <c r="L323" s="26"/>
      <c r="M323" s="6"/>
      <c r="N323" s="96"/>
    </row>
    <row r="324" spans="2:14" x14ac:dyDescent="0.25">
      <c r="B324" s="43">
        <v>320</v>
      </c>
      <c r="C324" s="93"/>
      <c r="D324" s="97" t="s">
        <v>290</v>
      </c>
      <c r="E324" s="8">
        <v>4575</v>
      </c>
      <c r="F324" s="26"/>
      <c r="G324" s="6"/>
      <c r="H324" s="26"/>
      <c r="I324" s="6"/>
      <c r="J324" s="26"/>
      <c r="K324" s="6"/>
      <c r="L324" s="26"/>
      <c r="M324" s="6"/>
      <c r="N324" s="96"/>
    </row>
    <row r="325" spans="2:14" x14ac:dyDescent="0.25">
      <c r="B325" s="43">
        <v>321</v>
      </c>
      <c r="C325" s="93"/>
      <c r="D325" s="97" t="s">
        <v>291</v>
      </c>
      <c r="E325" s="8">
        <v>5400</v>
      </c>
      <c r="F325" s="26"/>
      <c r="G325" s="6"/>
      <c r="H325" s="26"/>
      <c r="I325" s="6"/>
      <c r="J325" s="26"/>
      <c r="K325" s="6"/>
      <c r="L325" s="26"/>
      <c r="M325" s="6"/>
      <c r="N325" s="96"/>
    </row>
    <row r="326" spans="2:14" x14ac:dyDescent="0.25">
      <c r="B326" s="43">
        <v>322</v>
      </c>
      <c r="C326" s="43" t="s">
        <v>620</v>
      </c>
      <c r="D326" s="97" t="s">
        <v>292</v>
      </c>
      <c r="E326" s="8">
        <v>5400</v>
      </c>
      <c r="F326" s="26" t="s">
        <v>348</v>
      </c>
      <c r="G326" s="6"/>
      <c r="H326" s="26"/>
      <c r="I326" s="6"/>
      <c r="J326" s="26"/>
      <c r="K326" s="6"/>
      <c r="L326" s="26"/>
      <c r="M326" s="6"/>
      <c r="N326" s="96"/>
    </row>
    <row r="327" spans="2:14" x14ac:dyDescent="0.25">
      <c r="B327" s="43">
        <v>323</v>
      </c>
      <c r="C327" s="43" t="s">
        <v>654</v>
      </c>
      <c r="D327" s="97" t="s">
        <v>390</v>
      </c>
      <c r="E327" s="8">
        <v>30000</v>
      </c>
      <c r="F327" s="26" t="s">
        <v>363</v>
      </c>
      <c r="G327" s="6"/>
      <c r="H327" s="26"/>
      <c r="I327" s="6"/>
      <c r="J327" s="26"/>
      <c r="K327" s="6"/>
      <c r="L327" s="26"/>
      <c r="M327" s="6"/>
      <c r="N327" s="96"/>
    </row>
    <row r="328" spans="2:14" x14ac:dyDescent="0.25">
      <c r="B328" s="43">
        <v>324</v>
      </c>
      <c r="C328" s="6" t="s">
        <v>655</v>
      </c>
      <c r="D328" s="97" t="s">
        <v>293</v>
      </c>
      <c r="E328" s="8">
        <v>1000</v>
      </c>
      <c r="F328" s="26"/>
      <c r="G328" s="6"/>
      <c r="H328" s="26"/>
      <c r="I328" s="6"/>
      <c r="J328" s="26"/>
      <c r="K328" s="6"/>
      <c r="L328" s="26"/>
      <c r="M328" s="6"/>
      <c r="N328" s="96"/>
    </row>
    <row r="329" spans="2:14" x14ac:dyDescent="0.25">
      <c r="B329" s="43">
        <v>325</v>
      </c>
      <c r="C329" s="6" t="s">
        <v>656</v>
      </c>
      <c r="D329" s="97" t="s">
        <v>294</v>
      </c>
      <c r="E329" s="8">
        <v>2000</v>
      </c>
      <c r="F329" s="26"/>
      <c r="G329" s="6"/>
      <c r="H329" s="26"/>
      <c r="I329" s="6"/>
      <c r="J329" s="26"/>
      <c r="K329" s="6"/>
      <c r="L329" s="26"/>
      <c r="M329" s="6"/>
      <c r="N329" s="96"/>
    </row>
    <row r="330" spans="2:14" x14ac:dyDescent="0.25">
      <c r="B330" s="43">
        <v>326</v>
      </c>
      <c r="C330" s="43" t="s">
        <v>704</v>
      </c>
      <c r="D330" s="97" t="s">
        <v>700</v>
      </c>
      <c r="E330" s="8">
        <v>1000</v>
      </c>
      <c r="F330" s="26" t="s">
        <v>348</v>
      </c>
      <c r="G330" s="6"/>
      <c r="H330" s="26"/>
      <c r="I330" s="6"/>
      <c r="J330" s="26"/>
      <c r="K330" s="6"/>
      <c r="L330" s="26"/>
      <c r="M330" s="6"/>
      <c r="N330" s="96"/>
    </row>
    <row r="331" spans="2:14" x14ac:dyDescent="0.25">
      <c r="B331" s="43">
        <v>327</v>
      </c>
      <c r="C331" s="43" t="s">
        <v>816</v>
      </c>
      <c r="D331" s="97" t="s">
        <v>701</v>
      </c>
      <c r="E331" s="8">
        <v>2000</v>
      </c>
      <c r="F331" s="26" t="s">
        <v>348</v>
      </c>
      <c r="G331" s="6"/>
      <c r="H331" s="26"/>
      <c r="I331" s="6"/>
      <c r="J331" s="26"/>
      <c r="K331" s="6"/>
      <c r="L331" s="26"/>
      <c r="M331" s="6"/>
      <c r="N331" s="96"/>
    </row>
    <row r="332" spans="2:14" ht="30" x14ac:dyDescent="0.25">
      <c r="B332" s="43">
        <v>328</v>
      </c>
      <c r="C332" s="6" t="s">
        <v>658</v>
      </c>
      <c r="D332" s="77" t="s">
        <v>295</v>
      </c>
      <c r="E332" s="8">
        <v>1350</v>
      </c>
      <c r="F332" s="26"/>
      <c r="G332" s="6"/>
      <c r="H332" s="26"/>
      <c r="I332" s="6"/>
      <c r="J332" s="26"/>
      <c r="K332" s="6"/>
      <c r="L332" s="26"/>
      <c r="M332" s="6"/>
      <c r="N332" s="96"/>
    </row>
    <row r="333" spans="2:14" x14ac:dyDescent="0.25">
      <c r="B333" s="43">
        <v>329</v>
      </c>
      <c r="C333" s="6" t="s">
        <v>662</v>
      </c>
      <c r="D333" s="97" t="s">
        <v>296</v>
      </c>
      <c r="E333" s="8">
        <v>3000</v>
      </c>
      <c r="F333" s="26"/>
      <c r="G333" s="6"/>
      <c r="H333" s="26"/>
      <c r="I333" s="6"/>
      <c r="J333" s="26"/>
      <c r="K333" s="6"/>
      <c r="L333" s="26"/>
      <c r="M333" s="6"/>
      <c r="N333" s="96"/>
    </row>
    <row r="334" spans="2:14" x14ac:dyDescent="0.25">
      <c r="B334" s="43">
        <v>330</v>
      </c>
      <c r="C334" s="6" t="s">
        <v>661</v>
      </c>
      <c r="D334" s="97" t="s">
        <v>297</v>
      </c>
      <c r="E334" s="8">
        <v>4700</v>
      </c>
      <c r="F334" s="26"/>
      <c r="G334" s="6"/>
      <c r="H334" s="26"/>
      <c r="I334" s="6"/>
      <c r="J334" s="26"/>
      <c r="K334" s="6"/>
      <c r="L334" s="26"/>
      <c r="M334" s="6"/>
      <c r="N334" s="96"/>
    </row>
    <row r="335" spans="2:14" x14ac:dyDescent="0.25">
      <c r="B335" s="43">
        <v>331</v>
      </c>
      <c r="C335" s="6" t="s">
        <v>659</v>
      </c>
      <c r="D335" s="97" t="s">
        <v>298</v>
      </c>
      <c r="E335" s="8">
        <v>4600</v>
      </c>
      <c r="F335" s="26" t="s">
        <v>391</v>
      </c>
      <c r="G335" s="6"/>
      <c r="H335" s="26"/>
      <c r="I335" s="6"/>
      <c r="J335" s="26"/>
      <c r="K335" s="6"/>
      <c r="L335" s="26"/>
      <c r="M335" s="6"/>
      <c r="N335" s="96"/>
    </row>
    <row r="336" spans="2:14" x14ac:dyDescent="0.25">
      <c r="B336" s="43">
        <v>332</v>
      </c>
      <c r="C336" s="6" t="s">
        <v>663</v>
      </c>
      <c r="D336" s="97" t="s">
        <v>299</v>
      </c>
      <c r="E336" s="8">
        <v>3000</v>
      </c>
      <c r="F336" s="26"/>
      <c r="G336" s="6"/>
      <c r="H336" s="26"/>
      <c r="I336" s="6"/>
      <c r="J336" s="26"/>
      <c r="K336" s="6"/>
      <c r="L336" s="26"/>
      <c r="M336" s="6"/>
      <c r="N336" s="96"/>
    </row>
    <row r="337" spans="2:14" x14ac:dyDescent="0.25">
      <c r="B337" s="43">
        <v>333</v>
      </c>
      <c r="C337" s="6" t="s">
        <v>664</v>
      </c>
      <c r="D337" s="97" t="s">
        <v>300</v>
      </c>
      <c r="E337" s="8">
        <v>4700</v>
      </c>
      <c r="F337" s="26"/>
      <c r="G337" s="6"/>
      <c r="H337" s="26"/>
      <c r="I337" s="6"/>
      <c r="J337" s="26"/>
      <c r="K337" s="6"/>
      <c r="L337" s="26"/>
      <c r="M337" s="6"/>
      <c r="N337" s="96"/>
    </row>
    <row r="338" spans="2:14" x14ac:dyDescent="0.25">
      <c r="B338" s="43">
        <v>334</v>
      </c>
      <c r="C338" s="6" t="s">
        <v>660</v>
      </c>
      <c r="D338" s="97" t="s">
        <v>301</v>
      </c>
      <c r="E338" s="8">
        <v>4600</v>
      </c>
      <c r="F338" s="26" t="s">
        <v>391</v>
      </c>
      <c r="G338" s="6"/>
      <c r="H338" s="26"/>
      <c r="I338" s="6"/>
      <c r="J338" s="26"/>
      <c r="K338" s="6"/>
      <c r="L338" s="26"/>
      <c r="M338" s="6"/>
      <c r="N338" s="96"/>
    </row>
    <row r="339" spans="2:14" x14ac:dyDescent="0.25">
      <c r="B339" s="43">
        <v>335</v>
      </c>
      <c r="C339" s="6" t="s">
        <v>665</v>
      </c>
      <c r="D339" s="97" t="s">
        <v>302</v>
      </c>
      <c r="E339" s="8">
        <v>5085</v>
      </c>
      <c r="F339" s="26"/>
      <c r="G339" s="6"/>
      <c r="H339" s="26"/>
      <c r="I339" s="6"/>
      <c r="J339" s="26"/>
      <c r="K339" s="6"/>
      <c r="L339" s="26"/>
      <c r="M339" s="6"/>
      <c r="N339" s="96"/>
    </row>
    <row r="340" spans="2:14" x14ac:dyDescent="0.25">
      <c r="B340" s="43">
        <v>336</v>
      </c>
      <c r="C340" s="93"/>
      <c r="D340" s="97" t="s">
        <v>304</v>
      </c>
      <c r="E340" s="8">
        <v>3050</v>
      </c>
      <c r="F340" s="26"/>
      <c r="G340" s="6"/>
      <c r="H340" s="26"/>
      <c r="I340" s="6"/>
      <c r="J340" s="26"/>
      <c r="K340" s="6"/>
      <c r="L340" s="26"/>
      <c r="M340" s="6"/>
      <c r="N340" s="96"/>
    </row>
    <row r="341" spans="2:14" x14ac:dyDescent="0.25">
      <c r="B341" s="43">
        <v>337</v>
      </c>
      <c r="C341" s="93"/>
      <c r="D341" s="97" t="s">
        <v>303</v>
      </c>
      <c r="E341" s="8">
        <v>5250</v>
      </c>
      <c r="F341" s="26"/>
      <c r="G341" s="6"/>
      <c r="H341" s="26"/>
      <c r="I341" s="6"/>
      <c r="J341" s="26"/>
      <c r="K341" s="6"/>
      <c r="L341" s="26"/>
      <c r="M341" s="6"/>
      <c r="N341" s="96"/>
    </row>
    <row r="342" spans="2:14" x14ac:dyDescent="0.25">
      <c r="B342" s="43">
        <v>338</v>
      </c>
      <c r="C342" s="93"/>
      <c r="D342" s="97" t="s">
        <v>305</v>
      </c>
      <c r="E342" s="8">
        <v>3050</v>
      </c>
      <c r="F342" s="26"/>
      <c r="G342" s="6"/>
      <c r="H342" s="26"/>
      <c r="I342" s="6"/>
      <c r="J342" s="26"/>
      <c r="K342" s="6"/>
      <c r="L342" s="26"/>
      <c r="M342" s="6"/>
      <c r="N342" s="96"/>
    </row>
    <row r="343" spans="2:14" x14ac:dyDescent="0.25">
      <c r="B343" s="43">
        <v>339</v>
      </c>
      <c r="C343" s="6" t="s">
        <v>666</v>
      </c>
      <c r="D343" s="97" t="s">
        <v>306</v>
      </c>
      <c r="E343" s="72">
        <v>33000</v>
      </c>
      <c r="F343" s="26"/>
      <c r="G343" s="6"/>
      <c r="H343" s="26"/>
      <c r="I343" s="6"/>
      <c r="J343" s="26"/>
      <c r="K343" s="6"/>
      <c r="L343" s="26"/>
      <c r="M343" s="6"/>
      <c r="N343" s="96"/>
    </row>
    <row r="344" spans="2:14" x14ac:dyDescent="0.25">
      <c r="B344" s="43">
        <v>340</v>
      </c>
      <c r="C344" s="6" t="s">
        <v>667</v>
      </c>
      <c r="D344" s="97" t="s">
        <v>307</v>
      </c>
      <c r="E344" s="72">
        <v>35000</v>
      </c>
      <c r="F344" s="26"/>
      <c r="G344" s="6"/>
      <c r="H344" s="26"/>
      <c r="I344" s="6"/>
      <c r="J344" s="26"/>
      <c r="K344" s="6"/>
      <c r="L344" s="26"/>
      <c r="M344" s="6"/>
      <c r="N344" s="96"/>
    </row>
    <row r="345" spans="2:14" x14ac:dyDescent="0.25">
      <c r="B345" s="43">
        <v>341</v>
      </c>
      <c r="C345" s="6" t="s">
        <v>668</v>
      </c>
      <c r="D345" s="97" t="s">
        <v>308</v>
      </c>
      <c r="E345" s="72">
        <v>4054</v>
      </c>
      <c r="F345" s="26" t="s">
        <v>392</v>
      </c>
      <c r="G345" s="6"/>
      <c r="H345" s="26"/>
      <c r="I345" s="6"/>
      <c r="J345" s="26"/>
      <c r="K345" s="6"/>
      <c r="L345" s="26"/>
      <c r="M345" s="6"/>
      <c r="N345" s="96"/>
    </row>
    <row r="346" spans="2:14" x14ac:dyDescent="0.25">
      <c r="B346" s="43">
        <v>342</v>
      </c>
      <c r="C346" s="6" t="s">
        <v>669</v>
      </c>
      <c r="D346" s="97" t="s">
        <v>309</v>
      </c>
      <c r="E346" s="8">
        <v>33000</v>
      </c>
      <c r="F346" s="26"/>
      <c r="G346" s="6"/>
      <c r="H346" s="26"/>
      <c r="I346" s="6"/>
      <c r="J346" s="26"/>
      <c r="K346" s="6"/>
      <c r="L346" s="26"/>
      <c r="M346" s="6"/>
      <c r="N346" s="96"/>
    </row>
    <row r="347" spans="2:14" x14ac:dyDescent="0.25">
      <c r="B347" s="43">
        <v>343</v>
      </c>
      <c r="C347" s="6" t="s">
        <v>670</v>
      </c>
      <c r="D347" s="97" t="s">
        <v>310</v>
      </c>
      <c r="E347" s="8">
        <v>33000</v>
      </c>
      <c r="F347" s="26"/>
      <c r="G347" s="6"/>
      <c r="H347" s="26"/>
      <c r="I347" s="6"/>
      <c r="J347" s="26"/>
      <c r="K347" s="6"/>
      <c r="L347" s="26"/>
      <c r="M347" s="6"/>
      <c r="N347" s="96"/>
    </row>
    <row r="348" spans="2:14" x14ac:dyDescent="0.25">
      <c r="B348" s="43">
        <v>344</v>
      </c>
      <c r="C348" s="6" t="s">
        <v>672</v>
      </c>
      <c r="D348" s="97" t="s">
        <v>311</v>
      </c>
      <c r="E348" s="8">
        <v>1300</v>
      </c>
      <c r="F348" s="26"/>
      <c r="G348" s="6"/>
      <c r="H348" s="26"/>
      <c r="I348" s="6"/>
      <c r="J348" s="26"/>
      <c r="K348" s="6"/>
      <c r="L348" s="26"/>
      <c r="M348" s="6"/>
      <c r="N348" s="96"/>
    </row>
    <row r="349" spans="2:14" x14ac:dyDescent="0.25">
      <c r="B349" s="43">
        <v>345</v>
      </c>
      <c r="C349" s="6" t="s">
        <v>671</v>
      </c>
      <c r="D349" s="97" t="s">
        <v>312</v>
      </c>
      <c r="E349" s="8">
        <v>650</v>
      </c>
      <c r="F349" s="26"/>
      <c r="G349" s="6"/>
      <c r="H349" s="26"/>
      <c r="I349" s="6"/>
      <c r="J349" s="26"/>
      <c r="K349" s="6"/>
      <c r="L349" s="26"/>
      <c r="M349" s="6"/>
      <c r="N349" s="96"/>
    </row>
    <row r="350" spans="2:14" x14ac:dyDescent="0.25">
      <c r="B350" s="43">
        <v>346</v>
      </c>
      <c r="C350" s="6" t="s">
        <v>675</v>
      </c>
      <c r="D350" s="97" t="s">
        <v>313</v>
      </c>
      <c r="E350" s="8">
        <v>5000</v>
      </c>
      <c r="F350" s="26"/>
      <c r="G350" s="6"/>
      <c r="H350" s="26"/>
      <c r="I350" s="6"/>
      <c r="J350" s="26"/>
      <c r="K350" s="6"/>
      <c r="L350" s="26"/>
      <c r="M350" s="6"/>
      <c r="N350" s="96"/>
    </row>
    <row r="351" spans="2:14" x14ac:dyDescent="0.25">
      <c r="B351" s="43">
        <v>347</v>
      </c>
      <c r="C351" s="6" t="s">
        <v>674</v>
      </c>
      <c r="D351" s="97" t="s">
        <v>314</v>
      </c>
      <c r="E351" s="8">
        <v>58000</v>
      </c>
      <c r="F351" s="26"/>
      <c r="G351" s="6"/>
      <c r="H351" s="26"/>
      <c r="I351" s="6"/>
      <c r="J351" s="26"/>
      <c r="K351" s="6"/>
      <c r="L351" s="26"/>
      <c r="M351" s="6"/>
      <c r="N351" s="96"/>
    </row>
    <row r="352" spans="2:14" x14ac:dyDescent="0.25">
      <c r="B352" s="43">
        <v>348</v>
      </c>
      <c r="C352" s="6" t="s">
        <v>673</v>
      </c>
      <c r="D352" s="97" t="s">
        <v>315</v>
      </c>
      <c r="E352" s="8">
        <v>60000</v>
      </c>
      <c r="F352" s="26"/>
      <c r="G352" s="8">
        <v>64000</v>
      </c>
      <c r="H352" s="26" t="s">
        <v>393</v>
      </c>
      <c r="I352" s="6"/>
      <c r="J352" s="26"/>
      <c r="K352" s="6"/>
      <c r="L352" s="26"/>
      <c r="M352" s="6"/>
      <c r="N352" s="96"/>
    </row>
    <row r="353" spans="2:14" ht="30" x14ac:dyDescent="0.25">
      <c r="B353" s="43">
        <v>349</v>
      </c>
      <c r="C353" s="6" t="s">
        <v>673</v>
      </c>
      <c r="D353" s="77" t="s">
        <v>316</v>
      </c>
      <c r="E353" s="8">
        <v>60000</v>
      </c>
      <c r="F353" s="26"/>
      <c r="G353" s="6"/>
      <c r="H353" s="26"/>
      <c r="I353" s="6"/>
      <c r="J353" s="26"/>
      <c r="K353" s="6"/>
      <c r="L353" s="26"/>
      <c r="M353" s="6"/>
      <c r="N353" s="96"/>
    </row>
    <row r="354" spans="2:14" ht="30" x14ac:dyDescent="0.25">
      <c r="B354" s="43">
        <v>350</v>
      </c>
      <c r="C354" s="6" t="s">
        <v>676</v>
      </c>
      <c r="D354" s="77" t="s">
        <v>317</v>
      </c>
      <c r="E354" s="8">
        <v>49500</v>
      </c>
      <c r="F354" s="26"/>
      <c r="G354" s="6"/>
      <c r="H354" s="26"/>
      <c r="I354" s="6"/>
      <c r="J354" s="26"/>
      <c r="K354" s="6"/>
      <c r="L354" s="26"/>
      <c r="M354" s="6"/>
      <c r="N354" s="96"/>
    </row>
    <row r="355" spans="2:14" x14ac:dyDescent="0.25">
      <c r="B355" s="43">
        <v>351</v>
      </c>
      <c r="C355" s="6"/>
      <c r="D355" s="97" t="s">
        <v>318</v>
      </c>
      <c r="E355" s="8">
        <v>3710</v>
      </c>
      <c r="F355" s="26"/>
      <c r="G355" s="6"/>
      <c r="H355" s="26"/>
      <c r="I355" s="6"/>
      <c r="J355" s="26"/>
      <c r="K355" s="6"/>
      <c r="L355" s="26"/>
      <c r="M355" s="6"/>
      <c r="N355" s="96"/>
    </row>
    <row r="356" spans="2:14" x14ac:dyDescent="0.25">
      <c r="B356" s="43">
        <v>352</v>
      </c>
      <c r="C356" s="6"/>
      <c r="D356" s="97" t="s">
        <v>319</v>
      </c>
      <c r="E356" s="8">
        <v>4150</v>
      </c>
      <c r="F356" s="26"/>
      <c r="G356" s="6"/>
      <c r="H356" s="26"/>
      <c r="I356" s="6"/>
      <c r="J356" s="26"/>
      <c r="K356" s="6"/>
      <c r="L356" s="26"/>
      <c r="M356" s="6"/>
      <c r="N356" s="96"/>
    </row>
    <row r="357" spans="2:14" x14ac:dyDescent="0.25">
      <c r="B357" s="43">
        <v>353</v>
      </c>
      <c r="C357" s="6"/>
      <c r="D357" s="97" t="s">
        <v>320</v>
      </c>
      <c r="E357" s="8">
        <v>3550</v>
      </c>
      <c r="F357" s="26"/>
      <c r="G357" s="6"/>
      <c r="H357" s="26"/>
      <c r="I357" s="6"/>
      <c r="J357" s="26"/>
      <c r="K357" s="6"/>
      <c r="L357" s="26"/>
      <c r="M357" s="6"/>
      <c r="N357" s="96"/>
    </row>
    <row r="358" spans="2:14" ht="30" x14ac:dyDescent="0.25">
      <c r="B358" s="43">
        <v>354</v>
      </c>
      <c r="C358" s="6" t="s">
        <v>677</v>
      </c>
      <c r="D358" s="77" t="s">
        <v>321</v>
      </c>
      <c r="E358" s="8">
        <v>3800</v>
      </c>
      <c r="F358" s="26"/>
      <c r="G358" s="6"/>
      <c r="H358" s="26"/>
      <c r="I358" s="6"/>
      <c r="J358" s="26"/>
      <c r="K358" s="6"/>
      <c r="L358" s="26"/>
      <c r="M358" s="6"/>
      <c r="N358" s="96"/>
    </row>
    <row r="359" spans="2:14" x14ac:dyDescent="0.25">
      <c r="B359" s="43">
        <v>355</v>
      </c>
      <c r="C359" s="93"/>
      <c r="D359" s="97" t="s">
        <v>322</v>
      </c>
      <c r="E359" s="8">
        <v>4500</v>
      </c>
      <c r="F359" s="26"/>
      <c r="G359" s="6"/>
      <c r="H359" s="26"/>
      <c r="I359" s="6"/>
      <c r="J359" s="26"/>
      <c r="K359" s="6"/>
      <c r="L359" s="26"/>
      <c r="M359" s="6"/>
      <c r="N359" s="96"/>
    </row>
    <row r="360" spans="2:14" x14ac:dyDescent="0.25">
      <c r="B360" s="43">
        <v>356</v>
      </c>
      <c r="C360" s="93"/>
      <c r="D360" s="97" t="s">
        <v>323</v>
      </c>
      <c r="E360" s="8">
        <v>4000</v>
      </c>
      <c r="F360" s="26"/>
      <c r="G360" s="6"/>
      <c r="H360" s="26"/>
      <c r="I360" s="6"/>
      <c r="J360" s="26"/>
      <c r="K360" s="6"/>
      <c r="L360" s="26"/>
      <c r="M360" s="6"/>
      <c r="N360" s="96"/>
    </row>
    <row r="361" spans="2:14" x14ac:dyDescent="0.25">
      <c r="B361" s="43">
        <v>357</v>
      </c>
      <c r="C361" s="93"/>
      <c r="D361" s="97" t="s">
        <v>324</v>
      </c>
      <c r="E361" s="8">
        <v>4100</v>
      </c>
      <c r="F361" s="26"/>
      <c r="G361" s="6"/>
      <c r="H361" s="26"/>
      <c r="I361" s="6"/>
      <c r="J361" s="26"/>
      <c r="K361" s="6"/>
      <c r="L361" s="26"/>
      <c r="M361" s="6"/>
      <c r="N361" s="96"/>
    </row>
    <row r="362" spans="2:14" x14ac:dyDescent="0.25">
      <c r="B362" s="43">
        <v>358</v>
      </c>
      <c r="C362" s="93"/>
      <c r="D362" s="97" t="s">
        <v>325</v>
      </c>
      <c r="E362" s="8">
        <v>5727</v>
      </c>
      <c r="F362" s="26"/>
      <c r="G362" s="6"/>
      <c r="H362" s="26"/>
      <c r="I362" s="6"/>
      <c r="J362" s="26"/>
      <c r="K362" s="6"/>
      <c r="L362" s="26"/>
      <c r="M362" s="6"/>
      <c r="N362" s="96"/>
    </row>
    <row r="363" spans="2:14" x14ac:dyDescent="0.25">
      <c r="B363" s="43">
        <v>359</v>
      </c>
      <c r="C363" s="93"/>
      <c r="D363" s="97" t="s">
        <v>326</v>
      </c>
      <c r="E363" s="8">
        <v>4700</v>
      </c>
      <c r="F363" s="26"/>
      <c r="G363" s="6"/>
      <c r="H363" s="26"/>
      <c r="I363" s="6"/>
      <c r="J363" s="26"/>
      <c r="K363" s="6"/>
      <c r="L363" s="26"/>
      <c r="M363" s="6"/>
      <c r="N363" s="96"/>
    </row>
    <row r="364" spans="2:14" x14ac:dyDescent="0.25">
      <c r="B364" s="43">
        <v>360</v>
      </c>
      <c r="C364" s="43" t="s">
        <v>688</v>
      </c>
      <c r="D364" s="97" t="s">
        <v>327</v>
      </c>
      <c r="E364" s="8">
        <v>4700</v>
      </c>
      <c r="F364" s="26" t="s">
        <v>394</v>
      </c>
      <c r="G364" s="6"/>
      <c r="H364" s="26"/>
      <c r="I364" s="6"/>
      <c r="J364" s="26"/>
      <c r="K364" s="6"/>
      <c r="L364" s="26"/>
      <c r="M364" s="6"/>
      <c r="N364" s="96"/>
    </row>
    <row r="365" spans="2:14" x14ac:dyDescent="0.25">
      <c r="B365" s="43">
        <v>361</v>
      </c>
      <c r="C365" s="93"/>
      <c r="D365" s="97" t="s">
        <v>328</v>
      </c>
      <c r="E365" s="8">
        <v>4700</v>
      </c>
      <c r="F365" s="26"/>
      <c r="G365" s="6"/>
      <c r="H365" s="26"/>
      <c r="I365" s="6"/>
      <c r="J365" s="26"/>
      <c r="K365" s="6"/>
      <c r="L365" s="26"/>
      <c r="M365" s="6"/>
      <c r="N365" s="96"/>
    </row>
    <row r="366" spans="2:14" x14ac:dyDescent="0.25">
      <c r="B366" s="43">
        <v>362</v>
      </c>
      <c r="C366" s="93"/>
      <c r="D366" s="97" t="s">
        <v>329</v>
      </c>
      <c r="E366" s="8">
        <v>4100</v>
      </c>
      <c r="F366" s="26"/>
      <c r="G366" s="6"/>
      <c r="H366" s="26"/>
      <c r="I366" s="6"/>
      <c r="J366" s="26"/>
      <c r="K366" s="6"/>
      <c r="L366" s="26"/>
      <c r="M366" s="6"/>
      <c r="N366" s="96"/>
    </row>
    <row r="367" spans="2:14" x14ac:dyDescent="0.25">
      <c r="B367" s="43">
        <v>363</v>
      </c>
      <c r="C367" s="93"/>
      <c r="D367" s="97" t="s">
        <v>330</v>
      </c>
      <c r="E367" s="8">
        <v>4050</v>
      </c>
      <c r="F367" s="26"/>
      <c r="G367" s="6"/>
      <c r="H367" s="26"/>
      <c r="I367" s="6"/>
      <c r="J367" s="26"/>
      <c r="K367" s="6"/>
      <c r="L367" s="26"/>
      <c r="M367" s="6"/>
      <c r="N367" s="96"/>
    </row>
    <row r="368" spans="2:14" x14ac:dyDescent="0.25">
      <c r="B368" s="43">
        <v>364</v>
      </c>
      <c r="C368" s="93"/>
      <c r="D368" s="97" t="s">
        <v>331</v>
      </c>
      <c r="E368" s="8">
        <v>5727</v>
      </c>
      <c r="F368" s="26"/>
      <c r="G368" s="6"/>
      <c r="H368" s="26"/>
      <c r="I368" s="6"/>
      <c r="J368" s="26"/>
      <c r="K368" s="6"/>
      <c r="L368" s="26"/>
      <c r="M368" s="6"/>
      <c r="N368" s="96"/>
    </row>
    <row r="369" spans="2:14" x14ac:dyDescent="0.25">
      <c r="B369" s="43">
        <v>365</v>
      </c>
      <c r="C369" s="93"/>
      <c r="D369" s="97" t="s">
        <v>332</v>
      </c>
      <c r="E369" s="8">
        <v>39640</v>
      </c>
      <c r="F369" s="26" t="s">
        <v>350</v>
      </c>
      <c r="G369" s="6"/>
      <c r="H369" s="26"/>
      <c r="I369" s="6"/>
      <c r="J369" s="26"/>
      <c r="K369" s="6"/>
      <c r="L369" s="26"/>
      <c r="M369" s="6"/>
      <c r="N369" s="96"/>
    </row>
    <row r="370" spans="2:14" ht="30" x14ac:dyDescent="0.25">
      <c r="B370" s="43">
        <v>366</v>
      </c>
      <c r="C370" s="6" t="s">
        <v>678</v>
      </c>
      <c r="D370" s="77" t="s">
        <v>333</v>
      </c>
      <c r="E370" s="8">
        <v>14000</v>
      </c>
      <c r="F370" s="26"/>
      <c r="G370" s="6"/>
      <c r="H370" s="26"/>
      <c r="I370" s="6"/>
      <c r="J370" s="26"/>
      <c r="K370" s="6"/>
      <c r="L370" s="26"/>
      <c r="M370" s="6"/>
      <c r="N370" s="96"/>
    </row>
    <row r="371" spans="2:14" x14ac:dyDescent="0.25">
      <c r="B371" s="43">
        <v>367</v>
      </c>
      <c r="C371" s="6" t="s">
        <v>679</v>
      </c>
      <c r="D371" s="97" t="s">
        <v>334</v>
      </c>
      <c r="E371" s="8">
        <v>7500</v>
      </c>
      <c r="F371" s="26"/>
      <c r="G371" s="6"/>
      <c r="H371" s="26"/>
      <c r="I371" s="6"/>
      <c r="J371" s="26"/>
      <c r="K371" s="6"/>
      <c r="L371" s="26"/>
      <c r="M371" s="6"/>
      <c r="N371" s="96"/>
    </row>
    <row r="372" spans="2:14" ht="30" x14ac:dyDescent="0.25">
      <c r="B372" s="43">
        <v>368</v>
      </c>
      <c r="C372" s="6" t="s">
        <v>680</v>
      </c>
      <c r="D372" s="77" t="s">
        <v>335</v>
      </c>
      <c r="E372" s="8">
        <v>12000</v>
      </c>
      <c r="F372" s="26"/>
      <c r="G372" s="40">
        <v>9200</v>
      </c>
      <c r="H372" s="26" t="s">
        <v>395</v>
      </c>
      <c r="I372" s="32">
        <f>ROUND((8000/1.11),0)</f>
        <v>7207</v>
      </c>
      <c r="J372" s="42" t="s">
        <v>396</v>
      </c>
      <c r="K372" s="6"/>
      <c r="L372" s="26"/>
      <c r="M372" s="6"/>
      <c r="N372" s="96"/>
    </row>
    <row r="373" spans="2:14" ht="30" x14ac:dyDescent="0.25">
      <c r="B373" s="43">
        <v>369</v>
      </c>
      <c r="C373" s="6" t="s">
        <v>680</v>
      </c>
      <c r="D373" s="77" t="s">
        <v>336</v>
      </c>
      <c r="E373" s="8">
        <v>8600</v>
      </c>
      <c r="F373" s="26"/>
      <c r="G373" s="109"/>
      <c r="H373" s="26"/>
      <c r="I373" s="6"/>
      <c r="J373" s="87"/>
      <c r="K373" s="6"/>
      <c r="L373" s="26"/>
      <c r="M373" s="6"/>
      <c r="N373" s="96"/>
    </row>
    <row r="374" spans="2:14" x14ac:dyDescent="0.25">
      <c r="B374" s="43">
        <v>370</v>
      </c>
      <c r="C374" s="6" t="s">
        <v>679</v>
      </c>
      <c r="D374" s="97" t="s">
        <v>337</v>
      </c>
      <c r="E374" s="8">
        <v>7500</v>
      </c>
      <c r="F374" s="26"/>
      <c r="G374" s="6"/>
      <c r="H374" s="26"/>
      <c r="I374" s="6"/>
      <c r="J374" s="26"/>
      <c r="K374" s="6"/>
      <c r="L374" s="26"/>
      <c r="M374" s="6"/>
      <c r="N374" s="96"/>
    </row>
    <row r="375" spans="2:14" x14ac:dyDescent="0.25">
      <c r="B375" s="43">
        <v>371</v>
      </c>
      <c r="C375" s="93"/>
      <c r="D375" s="97" t="s">
        <v>338</v>
      </c>
      <c r="E375" s="8">
        <v>6400</v>
      </c>
      <c r="F375" s="26"/>
      <c r="G375" s="6"/>
      <c r="H375" s="26"/>
      <c r="I375" s="6"/>
      <c r="J375" s="26"/>
      <c r="K375" s="6"/>
      <c r="L375" s="26"/>
      <c r="M375" s="6"/>
      <c r="N375" s="96"/>
    </row>
    <row r="376" spans="2:14" x14ac:dyDescent="0.25">
      <c r="B376" s="43">
        <v>372</v>
      </c>
      <c r="C376" s="93"/>
      <c r="D376" s="97" t="s">
        <v>339</v>
      </c>
      <c r="E376" s="8">
        <v>6400</v>
      </c>
      <c r="F376" s="26"/>
      <c r="G376" s="6"/>
      <c r="H376" s="26"/>
      <c r="I376" s="6"/>
      <c r="J376" s="26"/>
      <c r="K376" s="6"/>
      <c r="L376" s="26"/>
      <c r="M376" s="6"/>
      <c r="N376" s="96"/>
    </row>
    <row r="377" spans="2:14" x14ac:dyDescent="0.25">
      <c r="B377" s="43">
        <v>373</v>
      </c>
      <c r="C377" s="93"/>
      <c r="D377" s="97" t="s">
        <v>340</v>
      </c>
      <c r="E377" s="8">
        <v>6400</v>
      </c>
      <c r="F377" s="26"/>
      <c r="G377" s="6"/>
      <c r="H377" s="26"/>
      <c r="I377" s="6"/>
      <c r="J377" s="26"/>
      <c r="K377" s="6"/>
      <c r="L377" s="26"/>
      <c r="M377" s="6"/>
      <c r="N377" s="96"/>
    </row>
    <row r="378" spans="2:14" x14ac:dyDescent="0.25">
      <c r="B378" s="43">
        <v>374</v>
      </c>
      <c r="C378" s="93"/>
      <c r="D378" s="97" t="s">
        <v>341</v>
      </c>
      <c r="E378" s="8">
        <v>6400</v>
      </c>
      <c r="F378" s="26"/>
      <c r="G378" s="6"/>
      <c r="H378" s="26"/>
      <c r="I378" s="6"/>
      <c r="J378" s="26"/>
      <c r="K378" s="6"/>
      <c r="L378" s="26"/>
      <c r="M378" s="6"/>
      <c r="N378" s="96"/>
    </row>
    <row r="379" spans="2:14" x14ac:dyDescent="0.25">
      <c r="B379" s="43">
        <v>375</v>
      </c>
      <c r="C379" s="93"/>
      <c r="D379" s="97" t="s">
        <v>342</v>
      </c>
      <c r="E379" s="8">
        <v>6400</v>
      </c>
      <c r="F379" s="26"/>
      <c r="G379" s="6"/>
      <c r="H379" s="26"/>
      <c r="I379" s="6"/>
      <c r="J379" s="26"/>
      <c r="K379" s="6"/>
      <c r="L379" s="26"/>
      <c r="M379" s="6"/>
      <c r="N379" s="96"/>
    </row>
    <row r="380" spans="2:14" x14ac:dyDescent="0.25">
      <c r="B380" s="43">
        <v>376</v>
      </c>
      <c r="C380" s="93"/>
      <c r="D380" s="97" t="s">
        <v>343</v>
      </c>
      <c r="E380" s="8">
        <v>6400</v>
      </c>
      <c r="F380" s="26"/>
      <c r="G380" s="6"/>
      <c r="H380" s="26"/>
      <c r="I380" s="6"/>
      <c r="J380" s="26"/>
      <c r="K380" s="6"/>
      <c r="L380" s="26"/>
      <c r="M380" s="6"/>
      <c r="N380" s="96"/>
    </row>
    <row r="381" spans="2:14" x14ac:dyDescent="0.25">
      <c r="B381" s="43">
        <v>377</v>
      </c>
      <c r="C381" s="93"/>
      <c r="D381" s="97" t="s">
        <v>344</v>
      </c>
      <c r="E381" s="8">
        <v>24000</v>
      </c>
      <c r="F381" s="26"/>
      <c r="G381" s="6"/>
      <c r="H381" s="26"/>
      <c r="I381" s="6"/>
      <c r="J381" s="26"/>
      <c r="K381" s="6"/>
      <c r="L381" s="26"/>
      <c r="M381" s="6"/>
      <c r="N381" s="96"/>
    </row>
    <row r="382" spans="2:14" x14ac:dyDescent="0.25">
      <c r="B382" s="43">
        <v>378</v>
      </c>
      <c r="C382" s="93"/>
      <c r="D382" s="97" t="s">
        <v>345</v>
      </c>
      <c r="E382" s="8">
        <v>4700</v>
      </c>
      <c r="F382" s="26"/>
      <c r="G382" s="6"/>
      <c r="H382" s="26"/>
      <c r="I382" s="6"/>
      <c r="J382" s="26"/>
      <c r="K382" s="6"/>
      <c r="L382" s="26"/>
      <c r="M382" s="6"/>
      <c r="N382" s="96"/>
    </row>
    <row r="383" spans="2:14" ht="30" x14ac:dyDescent="0.25">
      <c r="B383" s="43">
        <v>379</v>
      </c>
      <c r="C383" s="6" t="s">
        <v>681</v>
      </c>
      <c r="D383" s="77" t="s">
        <v>346</v>
      </c>
      <c r="E383" s="8">
        <v>13000</v>
      </c>
      <c r="F383" s="26"/>
      <c r="G383" s="6"/>
      <c r="H383" s="26"/>
      <c r="I383" s="6"/>
      <c r="J383" s="26"/>
      <c r="K383" s="6"/>
      <c r="L383" s="26"/>
      <c r="M383" s="6"/>
      <c r="N383" s="96"/>
    </row>
    <row r="384" spans="2:14" x14ac:dyDescent="0.25">
      <c r="B384" s="43">
        <v>380</v>
      </c>
      <c r="C384" s="6" t="s">
        <v>820</v>
      </c>
      <c r="D384" s="97" t="s">
        <v>819</v>
      </c>
      <c r="E384" s="72">
        <v>5600</v>
      </c>
      <c r="F384" s="110" t="s">
        <v>417</v>
      </c>
      <c r="G384" s="32"/>
      <c r="H384" s="99"/>
      <c r="I384" s="8"/>
      <c r="J384" s="26"/>
      <c r="K384" s="6"/>
      <c r="L384" s="26"/>
      <c r="M384" s="6"/>
      <c r="N384" s="96"/>
    </row>
    <row r="385" spans="2:14" s="50" customFormat="1" x14ac:dyDescent="0.25">
      <c r="B385" s="43">
        <v>381</v>
      </c>
      <c r="C385" s="43" t="s">
        <v>733</v>
      </c>
      <c r="D385" s="94" t="s">
        <v>722</v>
      </c>
      <c r="E385" s="95">
        <v>7950</v>
      </c>
      <c r="F385" s="91" t="s">
        <v>717</v>
      </c>
      <c r="G385" s="43"/>
      <c r="H385" s="91"/>
      <c r="I385" s="43"/>
      <c r="J385" s="91"/>
      <c r="K385" s="43"/>
      <c r="L385" s="91"/>
      <c r="M385" s="43"/>
      <c r="N385" s="92"/>
    </row>
    <row r="386" spans="2:14" s="50" customFormat="1" x14ac:dyDescent="0.25">
      <c r="B386" s="43">
        <v>382</v>
      </c>
      <c r="C386" s="43" t="s">
        <v>734</v>
      </c>
      <c r="D386" s="94" t="s">
        <v>735</v>
      </c>
      <c r="E386" s="95">
        <v>35800</v>
      </c>
      <c r="F386" s="91" t="s">
        <v>717</v>
      </c>
      <c r="G386" s="43"/>
      <c r="H386" s="91"/>
      <c r="I386" s="43"/>
      <c r="J386" s="91"/>
      <c r="K386" s="43"/>
      <c r="L386" s="91"/>
      <c r="M386" s="43"/>
      <c r="N386" s="92"/>
    </row>
    <row r="387" spans="2:14" s="50" customFormat="1" x14ac:dyDescent="0.25">
      <c r="B387" s="43">
        <v>383</v>
      </c>
      <c r="C387" s="43" t="s">
        <v>839</v>
      </c>
      <c r="D387" s="94" t="s">
        <v>736</v>
      </c>
      <c r="E387" s="95">
        <v>10800</v>
      </c>
      <c r="F387" s="91" t="s">
        <v>717</v>
      </c>
      <c r="G387" s="43"/>
      <c r="H387" s="91"/>
      <c r="I387" s="43"/>
      <c r="J387" s="91"/>
      <c r="K387" s="43"/>
      <c r="L387" s="91"/>
      <c r="M387" s="43"/>
      <c r="N387" s="92"/>
    </row>
    <row r="388" spans="2:14" s="50" customFormat="1" x14ac:dyDescent="0.25">
      <c r="B388" s="43">
        <v>384</v>
      </c>
      <c r="C388" s="43" t="s">
        <v>732</v>
      </c>
      <c r="D388" s="94" t="s">
        <v>723</v>
      </c>
      <c r="E388" s="95">
        <v>3950</v>
      </c>
      <c r="F388" s="91" t="s">
        <v>717</v>
      </c>
      <c r="G388" s="43"/>
      <c r="H388" s="91"/>
      <c r="I388" s="43"/>
      <c r="J388" s="91"/>
      <c r="K388" s="43"/>
      <c r="L388" s="91"/>
      <c r="M388" s="43"/>
      <c r="N388" s="92"/>
    </row>
    <row r="389" spans="2:14" s="50" customFormat="1" x14ac:dyDescent="0.25">
      <c r="B389" s="43">
        <v>385</v>
      </c>
      <c r="C389" s="43" t="s">
        <v>737</v>
      </c>
      <c r="D389" s="94" t="s">
        <v>724</v>
      </c>
      <c r="E389" s="95">
        <v>4000</v>
      </c>
      <c r="F389" s="91" t="s">
        <v>717</v>
      </c>
      <c r="G389" s="43"/>
      <c r="H389" s="91"/>
      <c r="I389" s="43"/>
      <c r="J389" s="91"/>
      <c r="K389" s="43"/>
      <c r="L389" s="91"/>
      <c r="M389" s="43"/>
      <c r="N389" s="92"/>
    </row>
    <row r="390" spans="2:14" x14ac:dyDescent="0.25">
      <c r="B390" s="43">
        <v>386</v>
      </c>
      <c r="C390" s="6" t="s">
        <v>805</v>
      </c>
      <c r="D390" s="97" t="s">
        <v>747</v>
      </c>
      <c r="E390" s="8">
        <v>1000</v>
      </c>
      <c r="F390" s="26" t="s">
        <v>830</v>
      </c>
      <c r="G390" s="6"/>
      <c r="H390" s="26"/>
      <c r="I390" s="6"/>
      <c r="J390" s="26"/>
      <c r="K390" s="6"/>
      <c r="L390" s="26"/>
      <c r="M390" s="6"/>
      <c r="N390" s="96"/>
    </row>
    <row r="391" spans="2:14" x14ac:dyDescent="0.25">
      <c r="B391" s="43">
        <v>387</v>
      </c>
      <c r="C391" s="6" t="s">
        <v>796</v>
      </c>
      <c r="D391" s="97" t="s">
        <v>748</v>
      </c>
      <c r="E391" s="8">
        <v>900</v>
      </c>
      <c r="F391" s="26" t="s">
        <v>830</v>
      </c>
      <c r="G391" s="6"/>
      <c r="H391" s="26"/>
      <c r="I391" s="6"/>
      <c r="J391" s="26"/>
      <c r="K391" s="6"/>
      <c r="L391" s="26"/>
      <c r="M391" s="6"/>
      <c r="N391" s="96"/>
    </row>
    <row r="392" spans="2:14" x14ac:dyDescent="0.25">
      <c r="B392" s="43">
        <v>388</v>
      </c>
      <c r="C392" s="6" t="s">
        <v>797</v>
      </c>
      <c r="D392" s="97" t="s">
        <v>749</v>
      </c>
      <c r="E392" s="8">
        <v>1800</v>
      </c>
      <c r="F392" s="26" t="s">
        <v>830</v>
      </c>
      <c r="G392" s="6"/>
      <c r="H392" s="26"/>
      <c r="I392" s="6"/>
      <c r="J392" s="26"/>
      <c r="K392" s="6"/>
      <c r="L392" s="26"/>
      <c r="M392" s="6"/>
      <c r="N392" s="96"/>
    </row>
    <row r="393" spans="2:14" x14ac:dyDescent="0.25">
      <c r="B393" s="43">
        <v>389</v>
      </c>
      <c r="C393" s="6" t="s">
        <v>798</v>
      </c>
      <c r="D393" s="97" t="s">
        <v>750</v>
      </c>
      <c r="E393" s="8">
        <v>3600</v>
      </c>
      <c r="F393" s="26" t="s">
        <v>830</v>
      </c>
      <c r="G393" s="6"/>
      <c r="H393" s="26"/>
      <c r="I393" s="6"/>
      <c r="J393" s="26"/>
      <c r="K393" s="6"/>
      <c r="L393" s="26"/>
      <c r="M393" s="6"/>
      <c r="N393" s="96"/>
    </row>
    <row r="394" spans="2:14" x14ac:dyDescent="0.25">
      <c r="B394" s="43">
        <v>390</v>
      </c>
      <c r="C394" s="6" t="s">
        <v>793</v>
      </c>
      <c r="D394" s="97" t="s">
        <v>751</v>
      </c>
      <c r="E394" s="8">
        <v>900</v>
      </c>
      <c r="F394" s="26" t="s">
        <v>830</v>
      </c>
      <c r="G394" s="6"/>
      <c r="H394" s="26"/>
      <c r="I394" s="6"/>
      <c r="J394" s="26"/>
      <c r="K394" s="6"/>
      <c r="L394" s="26"/>
      <c r="M394" s="6"/>
      <c r="N394" s="96"/>
    </row>
    <row r="395" spans="2:14" x14ac:dyDescent="0.25">
      <c r="B395" s="43">
        <v>391</v>
      </c>
      <c r="C395" s="6" t="s">
        <v>794</v>
      </c>
      <c r="D395" s="97" t="s">
        <v>752</v>
      </c>
      <c r="E395" s="8">
        <v>1800</v>
      </c>
      <c r="F395" s="26" t="s">
        <v>830</v>
      </c>
      <c r="G395" s="6"/>
      <c r="H395" s="26"/>
      <c r="I395" s="6"/>
      <c r="J395" s="26"/>
      <c r="K395" s="6"/>
      <c r="L395" s="26"/>
      <c r="M395" s="6"/>
      <c r="N395" s="96"/>
    </row>
    <row r="396" spans="2:14" x14ac:dyDescent="0.25">
      <c r="B396" s="43">
        <v>392</v>
      </c>
      <c r="C396" s="6" t="s">
        <v>795</v>
      </c>
      <c r="D396" s="97" t="s">
        <v>753</v>
      </c>
      <c r="E396" s="8">
        <v>3600</v>
      </c>
      <c r="F396" s="26" t="s">
        <v>830</v>
      </c>
      <c r="G396" s="6"/>
      <c r="H396" s="26"/>
      <c r="I396" s="6"/>
      <c r="J396" s="26"/>
      <c r="K396" s="6"/>
      <c r="L396" s="26"/>
      <c r="M396" s="6"/>
      <c r="N396" s="96"/>
    </row>
    <row r="397" spans="2:14" x14ac:dyDescent="0.25">
      <c r="B397" s="43">
        <v>393</v>
      </c>
      <c r="C397" s="6" t="s">
        <v>790</v>
      </c>
      <c r="D397" s="97" t="s">
        <v>754</v>
      </c>
      <c r="E397" s="8">
        <v>900</v>
      </c>
      <c r="F397" s="26" t="s">
        <v>830</v>
      </c>
      <c r="G397" s="6"/>
      <c r="H397" s="26"/>
      <c r="I397" s="6"/>
      <c r="J397" s="26"/>
      <c r="K397" s="6"/>
      <c r="L397" s="26"/>
      <c r="M397" s="6"/>
      <c r="N397" s="96"/>
    </row>
    <row r="398" spans="2:14" x14ac:dyDescent="0.25">
      <c r="B398" s="43">
        <v>394</v>
      </c>
      <c r="C398" s="6" t="s">
        <v>791</v>
      </c>
      <c r="D398" s="97" t="s">
        <v>755</v>
      </c>
      <c r="E398" s="8">
        <v>1800</v>
      </c>
      <c r="F398" s="26" t="s">
        <v>830</v>
      </c>
      <c r="G398" s="6"/>
      <c r="H398" s="26"/>
      <c r="I398" s="6"/>
      <c r="J398" s="26"/>
      <c r="K398" s="6"/>
      <c r="L398" s="26"/>
      <c r="M398" s="6"/>
      <c r="N398" s="96"/>
    </row>
    <row r="399" spans="2:14" x14ac:dyDescent="0.25">
      <c r="B399" s="43">
        <v>395</v>
      </c>
      <c r="C399" s="6" t="s">
        <v>792</v>
      </c>
      <c r="D399" s="97" t="s">
        <v>756</v>
      </c>
      <c r="E399" s="8">
        <v>3600</v>
      </c>
      <c r="F399" s="26" t="s">
        <v>830</v>
      </c>
      <c r="G399" s="6"/>
      <c r="H399" s="26"/>
      <c r="I399" s="6"/>
      <c r="J399" s="26"/>
      <c r="K399" s="6"/>
      <c r="L399" s="26"/>
      <c r="M399" s="6"/>
      <c r="N399" s="96"/>
    </row>
    <row r="400" spans="2:14" x14ac:dyDescent="0.25">
      <c r="B400" s="43">
        <v>396</v>
      </c>
      <c r="C400" s="6" t="s">
        <v>787</v>
      </c>
      <c r="D400" s="97" t="s">
        <v>757</v>
      </c>
      <c r="E400" s="8">
        <v>900</v>
      </c>
      <c r="F400" s="26" t="s">
        <v>830</v>
      </c>
      <c r="G400" s="6"/>
      <c r="H400" s="26"/>
      <c r="I400" s="6"/>
      <c r="J400" s="26"/>
      <c r="K400" s="6"/>
      <c r="L400" s="26"/>
      <c r="M400" s="6"/>
      <c r="N400" s="96"/>
    </row>
    <row r="401" spans="2:14" x14ac:dyDescent="0.25">
      <c r="B401" s="43">
        <v>397</v>
      </c>
      <c r="C401" s="6" t="s">
        <v>788</v>
      </c>
      <c r="D401" s="97" t="s">
        <v>758</v>
      </c>
      <c r="E401" s="8">
        <v>1800</v>
      </c>
      <c r="F401" s="26" t="s">
        <v>830</v>
      </c>
      <c r="G401" s="6"/>
      <c r="H401" s="26"/>
      <c r="I401" s="6"/>
      <c r="J401" s="26"/>
      <c r="K401" s="6"/>
      <c r="L401" s="26"/>
      <c r="M401" s="6"/>
      <c r="N401" s="96"/>
    </row>
    <row r="402" spans="2:14" x14ac:dyDescent="0.25">
      <c r="B402" s="43">
        <v>398</v>
      </c>
      <c r="C402" s="6" t="s">
        <v>789</v>
      </c>
      <c r="D402" s="97" t="s">
        <v>759</v>
      </c>
      <c r="E402" s="8">
        <v>3600</v>
      </c>
      <c r="F402" s="26" t="s">
        <v>830</v>
      </c>
      <c r="G402" s="6"/>
      <c r="H402" s="26"/>
      <c r="I402" s="6"/>
      <c r="J402" s="26"/>
      <c r="K402" s="6"/>
      <c r="L402" s="26"/>
      <c r="M402" s="6"/>
      <c r="N402" s="96"/>
    </row>
    <row r="403" spans="2:14" x14ac:dyDescent="0.25">
      <c r="B403" s="43">
        <v>399</v>
      </c>
      <c r="C403" s="6" t="s">
        <v>802</v>
      </c>
      <c r="D403" s="97" t="s">
        <v>760</v>
      </c>
      <c r="E403" s="8">
        <v>900</v>
      </c>
      <c r="F403" s="26" t="s">
        <v>830</v>
      </c>
      <c r="G403" s="6"/>
      <c r="H403" s="26"/>
      <c r="I403" s="6"/>
      <c r="J403" s="26"/>
      <c r="K403" s="6"/>
      <c r="L403" s="26"/>
      <c r="M403" s="6"/>
      <c r="N403" s="96"/>
    </row>
    <row r="404" spans="2:14" x14ac:dyDescent="0.25">
      <c r="B404" s="43">
        <v>400</v>
      </c>
      <c r="C404" s="6" t="s">
        <v>803</v>
      </c>
      <c r="D404" s="97" t="s">
        <v>761</v>
      </c>
      <c r="E404" s="8">
        <v>1800</v>
      </c>
      <c r="F404" s="26" t="s">
        <v>830</v>
      </c>
      <c r="G404" s="6"/>
      <c r="H404" s="26"/>
      <c r="I404" s="6"/>
      <c r="J404" s="26"/>
      <c r="K404" s="6"/>
      <c r="L404" s="26"/>
      <c r="M404" s="6"/>
      <c r="N404" s="96"/>
    </row>
    <row r="405" spans="2:14" x14ac:dyDescent="0.25">
      <c r="B405" s="43">
        <v>401</v>
      </c>
      <c r="C405" s="6" t="s">
        <v>804</v>
      </c>
      <c r="D405" s="97" t="s">
        <v>762</v>
      </c>
      <c r="E405" s="8">
        <v>3600</v>
      </c>
      <c r="F405" s="26" t="s">
        <v>830</v>
      </c>
      <c r="G405" s="6"/>
      <c r="H405" s="26"/>
      <c r="I405" s="6"/>
      <c r="J405" s="26"/>
      <c r="K405" s="6"/>
      <c r="L405" s="26"/>
      <c r="M405" s="6"/>
      <c r="N405" s="96"/>
    </row>
    <row r="406" spans="2:14" x14ac:dyDescent="0.25">
      <c r="B406" s="43">
        <v>402</v>
      </c>
      <c r="C406" s="6" t="s">
        <v>799</v>
      </c>
      <c r="D406" s="97" t="s">
        <v>763</v>
      </c>
      <c r="E406" s="8">
        <v>900</v>
      </c>
      <c r="F406" s="26" t="s">
        <v>830</v>
      </c>
      <c r="G406" s="6"/>
      <c r="H406" s="26"/>
      <c r="I406" s="6"/>
      <c r="J406" s="26"/>
      <c r="K406" s="6"/>
      <c r="L406" s="26"/>
      <c r="M406" s="6"/>
      <c r="N406" s="96"/>
    </row>
    <row r="407" spans="2:14" x14ac:dyDescent="0.25">
      <c r="B407" s="43">
        <v>403</v>
      </c>
      <c r="C407" s="6" t="s">
        <v>800</v>
      </c>
      <c r="D407" s="97" t="s">
        <v>764</v>
      </c>
      <c r="E407" s="8">
        <v>1800</v>
      </c>
      <c r="F407" s="26" t="s">
        <v>830</v>
      </c>
      <c r="G407" s="6"/>
      <c r="H407" s="26"/>
      <c r="I407" s="6"/>
      <c r="J407" s="26"/>
      <c r="K407" s="6"/>
      <c r="L407" s="26"/>
      <c r="M407" s="6"/>
      <c r="N407" s="96"/>
    </row>
    <row r="408" spans="2:14" x14ac:dyDescent="0.25">
      <c r="B408" s="43">
        <v>404</v>
      </c>
      <c r="C408" s="6" t="s">
        <v>801</v>
      </c>
      <c r="D408" s="97" t="s">
        <v>765</v>
      </c>
      <c r="E408" s="8">
        <v>3600</v>
      </c>
      <c r="F408" s="26" t="s">
        <v>830</v>
      </c>
      <c r="G408" s="6"/>
      <c r="H408" s="26"/>
      <c r="I408" s="6"/>
      <c r="J408" s="26"/>
      <c r="K408" s="6"/>
      <c r="L408" s="26"/>
      <c r="M408" s="6"/>
      <c r="N408" s="96"/>
    </row>
    <row r="409" spans="2:14" x14ac:dyDescent="0.25">
      <c r="B409" s="43">
        <v>405</v>
      </c>
      <c r="C409" s="6" t="s">
        <v>806</v>
      </c>
      <c r="D409" s="97" t="s">
        <v>766</v>
      </c>
      <c r="E409" s="8">
        <v>600</v>
      </c>
      <c r="F409" s="26" t="s">
        <v>830</v>
      </c>
      <c r="G409" s="6"/>
      <c r="H409" s="26"/>
      <c r="I409" s="6"/>
      <c r="J409" s="26"/>
      <c r="K409" s="6"/>
      <c r="L409" s="26"/>
      <c r="M409" s="6"/>
      <c r="N409" s="96"/>
    </row>
    <row r="410" spans="2:14" x14ac:dyDescent="0.25">
      <c r="B410" s="43">
        <v>406</v>
      </c>
      <c r="C410" s="6" t="s">
        <v>807</v>
      </c>
      <c r="D410" s="97" t="s">
        <v>767</v>
      </c>
      <c r="E410" s="8">
        <v>1200</v>
      </c>
      <c r="F410" s="26" t="s">
        <v>830</v>
      </c>
      <c r="G410" s="6"/>
      <c r="H410" s="26"/>
      <c r="I410" s="6"/>
      <c r="J410" s="26"/>
      <c r="K410" s="6"/>
      <c r="L410" s="26"/>
      <c r="M410" s="6"/>
      <c r="N410" s="96"/>
    </row>
    <row r="411" spans="2:14" x14ac:dyDescent="0.25">
      <c r="B411" s="43">
        <v>407</v>
      </c>
      <c r="C411" s="6" t="s">
        <v>808</v>
      </c>
      <c r="D411" s="97" t="s">
        <v>768</v>
      </c>
      <c r="E411" s="8">
        <v>1800</v>
      </c>
      <c r="F411" s="26" t="s">
        <v>830</v>
      </c>
      <c r="G411" s="6"/>
      <c r="H411" s="26"/>
      <c r="I411" s="6"/>
      <c r="J411" s="26"/>
      <c r="K411" s="6"/>
      <c r="L411" s="26"/>
      <c r="M411" s="6"/>
      <c r="N411" s="96"/>
    </row>
    <row r="412" spans="2:14" x14ac:dyDescent="0.25">
      <c r="B412" s="43">
        <v>408</v>
      </c>
      <c r="C412" s="6" t="s">
        <v>809</v>
      </c>
      <c r="D412" s="97" t="s">
        <v>769</v>
      </c>
      <c r="E412" s="8">
        <v>600</v>
      </c>
      <c r="F412" s="26" t="s">
        <v>830</v>
      </c>
      <c r="G412" s="6"/>
      <c r="H412" s="26"/>
      <c r="I412" s="6"/>
      <c r="J412" s="26"/>
      <c r="K412" s="6"/>
      <c r="L412" s="26"/>
      <c r="M412" s="6"/>
      <c r="N412" s="96"/>
    </row>
    <row r="413" spans="2:14" x14ac:dyDescent="0.25">
      <c r="B413" s="43">
        <v>409</v>
      </c>
      <c r="C413" s="6" t="s">
        <v>810</v>
      </c>
      <c r="D413" s="97" t="s">
        <v>770</v>
      </c>
      <c r="E413" s="8">
        <v>1200</v>
      </c>
      <c r="F413" s="26" t="s">
        <v>830</v>
      </c>
      <c r="G413" s="6"/>
      <c r="H413" s="26"/>
      <c r="I413" s="6"/>
      <c r="J413" s="26"/>
      <c r="K413" s="6"/>
      <c r="L413" s="26"/>
      <c r="M413" s="6"/>
      <c r="N413" s="96"/>
    </row>
    <row r="414" spans="2:14" x14ac:dyDescent="0.25">
      <c r="B414" s="43">
        <v>410</v>
      </c>
      <c r="C414" s="6" t="s">
        <v>811</v>
      </c>
      <c r="D414" s="97" t="s">
        <v>771</v>
      </c>
      <c r="E414" s="8">
        <v>1800</v>
      </c>
      <c r="F414" s="26" t="s">
        <v>830</v>
      </c>
      <c r="G414" s="6"/>
      <c r="H414" s="26"/>
      <c r="I414" s="6"/>
      <c r="J414" s="26"/>
      <c r="K414" s="6"/>
      <c r="L414" s="26"/>
      <c r="M414" s="6"/>
      <c r="N414" s="96"/>
    </row>
    <row r="415" spans="2:14" x14ac:dyDescent="0.25">
      <c r="B415" s="43">
        <v>411</v>
      </c>
      <c r="C415" s="6" t="s">
        <v>812</v>
      </c>
      <c r="D415" s="97" t="s">
        <v>772</v>
      </c>
      <c r="E415" s="8">
        <v>600</v>
      </c>
      <c r="F415" s="26" t="s">
        <v>830</v>
      </c>
      <c r="G415" s="6"/>
      <c r="H415" s="26"/>
      <c r="I415" s="6"/>
      <c r="J415" s="26"/>
      <c r="K415" s="6"/>
      <c r="L415" s="26"/>
      <c r="M415" s="6"/>
      <c r="N415" s="96"/>
    </row>
    <row r="416" spans="2:14" x14ac:dyDescent="0.25">
      <c r="B416" s="43">
        <v>412</v>
      </c>
      <c r="C416" s="6" t="s">
        <v>813</v>
      </c>
      <c r="D416" s="97" t="s">
        <v>773</v>
      </c>
      <c r="E416" s="8">
        <v>1800</v>
      </c>
      <c r="F416" s="26" t="s">
        <v>830</v>
      </c>
      <c r="G416" s="6"/>
      <c r="H416" s="26"/>
      <c r="I416" s="6"/>
      <c r="J416" s="26"/>
      <c r="K416" s="6"/>
      <c r="L416" s="26"/>
      <c r="M416" s="6"/>
      <c r="N416" s="96"/>
    </row>
    <row r="417" spans="2:14" x14ac:dyDescent="0.25">
      <c r="B417" s="43">
        <v>413</v>
      </c>
      <c r="C417" s="6" t="s">
        <v>814</v>
      </c>
      <c r="D417" s="97" t="s">
        <v>815</v>
      </c>
      <c r="E417" s="8">
        <v>4000</v>
      </c>
      <c r="F417" s="26" t="s">
        <v>830</v>
      </c>
      <c r="G417" s="6"/>
      <c r="H417" s="26"/>
      <c r="I417" s="6"/>
      <c r="J417" s="26"/>
      <c r="K417" s="6"/>
      <c r="L417" s="26"/>
      <c r="M417" s="6"/>
      <c r="N417" s="96"/>
    </row>
    <row r="418" spans="2:14" x14ac:dyDescent="0.25">
      <c r="B418" s="43">
        <v>414</v>
      </c>
      <c r="C418" s="6" t="s">
        <v>827</v>
      </c>
      <c r="D418" s="97" t="s">
        <v>828</v>
      </c>
      <c r="E418" s="8">
        <v>2400</v>
      </c>
      <c r="F418" s="26" t="s">
        <v>829</v>
      </c>
      <c r="G418" s="6"/>
      <c r="H418" s="26"/>
      <c r="I418" s="6"/>
      <c r="J418" s="26"/>
      <c r="K418" s="6"/>
      <c r="L418" s="26"/>
      <c r="M418" s="6"/>
      <c r="N418" s="96"/>
    </row>
    <row r="419" spans="2:14" x14ac:dyDescent="0.25">
      <c r="B419" s="43">
        <v>415</v>
      </c>
      <c r="C419" s="6" t="s">
        <v>970</v>
      </c>
      <c r="D419" s="97" t="s">
        <v>972</v>
      </c>
      <c r="E419" s="8">
        <v>1400</v>
      </c>
      <c r="F419" s="26" t="s">
        <v>974</v>
      </c>
      <c r="G419" s="6"/>
      <c r="H419" s="26"/>
      <c r="I419" s="6"/>
      <c r="J419" s="26"/>
      <c r="K419" s="6"/>
      <c r="L419" s="26"/>
      <c r="M419" s="6"/>
      <c r="N419" s="96"/>
    </row>
    <row r="420" spans="2:14" x14ac:dyDescent="0.25">
      <c r="B420" s="43">
        <v>416</v>
      </c>
      <c r="C420" s="6" t="s">
        <v>971</v>
      </c>
      <c r="D420" s="97" t="s">
        <v>973</v>
      </c>
      <c r="E420" s="8">
        <v>700</v>
      </c>
      <c r="F420" s="26" t="s">
        <v>974</v>
      </c>
      <c r="G420" s="6"/>
      <c r="H420" s="26"/>
      <c r="I420" s="6"/>
      <c r="J420" s="26"/>
      <c r="K420" s="6"/>
      <c r="L420" s="26"/>
      <c r="M420" s="6"/>
      <c r="N420" s="96"/>
    </row>
    <row r="421" spans="2:14" x14ac:dyDescent="0.25">
      <c r="B421" s="43">
        <v>417</v>
      </c>
      <c r="C421" s="6" t="s">
        <v>979</v>
      </c>
      <c r="D421" s="97" t="s">
        <v>978</v>
      </c>
      <c r="E421" s="8">
        <v>2700</v>
      </c>
      <c r="F421" s="26" t="s">
        <v>977</v>
      </c>
      <c r="G421" s="6"/>
      <c r="H421" s="26"/>
      <c r="I421" s="6"/>
      <c r="J421" s="26"/>
      <c r="K421" s="6"/>
      <c r="L421" s="26"/>
      <c r="M421" s="6"/>
      <c r="N421" s="96"/>
    </row>
    <row r="422" spans="2:14" x14ac:dyDescent="0.25">
      <c r="B422" s="43">
        <v>418</v>
      </c>
      <c r="C422" s="6" t="s">
        <v>980</v>
      </c>
      <c r="D422" s="97" t="s">
        <v>976</v>
      </c>
      <c r="E422" s="8">
        <v>9150</v>
      </c>
      <c r="F422" s="26" t="s">
        <v>977</v>
      </c>
      <c r="G422" s="6"/>
      <c r="H422" s="26"/>
      <c r="I422" s="6"/>
      <c r="J422" s="26"/>
      <c r="K422" s="6"/>
      <c r="L422" s="26"/>
      <c r="M422" s="6"/>
      <c r="N422" s="96"/>
    </row>
    <row r="423" spans="2:14" x14ac:dyDescent="0.25">
      <c r="B423" s="43">
        <v>419</v>
      </c>
      <c r="C423" s="56" t="s">
        <v>992</v>
      </c>
      <c r="D423" s="97" t="s">
        <v>993</v>
      </c>
      <c r="E423" s="8">
        <v>7200</v>
      </c>
      <c r="F423" s="26" t="s">
        <v>991</v>
      </c>
      <c r="G423" s="6"/>
      <c r="H423" s="26"/>
      <c r="I423" s="6"/>
      <c r="J423" s="26"/>
      <c r="K423" s="6"/>
      <c r="L423" s="26"/>
      <c r="M423" s="6"/>
      <c r="N423" s="96"/>
    </row>
    <row r="424" spans="2:14" x14ac:dyDescent="0.25">
      <c r="B424" s="43">
        <v>420</v>
      </c>
      <c r="C424" s="6" t="s">
        <v>995</v>
      </c>
      <c r="D424" s="97" t="s">
        <v>998</v>
      </c>
      <c r="E424" s="8">
        <v>6600</v>
      </c>
      <c r="F424" s="26" t="s">
        <v>1001</v>
      </c>
      <c r="G424" s="6"/>
      <c r="H424" s="26"/>
      <c r="I424" s="6"/>
      <c r="J424" s="26"/>
      <c r="K424" s="6"/>
      <c r="L424" s="26"/>
      <c r="M424" s="6"/>
      <c r="N424" s="96"/>
    </row>
    <row r="425" spans="2:14" x14ac:dyDescent="0.25">
      <c r="B425" s="43">
        <v>421</v>
      </c>
      <c r="C425" s="6" t="s">
        <v>996</v>
      </c>
      <c r="D425" s="97" t="s">
        <v>999</v>
      </c>
      <c r="E425" s="8">
        <v>9900</v>
      </c>
      <c r="F425" s="26" t="s">
        <v>1001</v>
      </c>
      <c r="G425" s="6"/>
      <c r="H425" s="26"/>
      <c r="I425" s="6"/>
      <c r="J425" s="26"/>
      <c r="K425" s="6"/>
      <c r="L425" s="26"/>
      <c r="M425" s="6"/>
      <c r="N425" s="96"/>
    </row>
    <row r="426" spans="2:14" x14ac:dyDescent="0.25">
      <c r="B426" s="43">
        <v>422</v>
      </c>
      <c r="C426" s="6" t="s">
        <v>997</v>
      </c>
      <c r="D426" s="97" t="s">
        <v>1000</v>
      </c>
      <c r="E426" s="8">
        <v>13200</v>
      </c>
      <c r="F426" s="26" t="s">
        <v>1001</v>
      </c>
      <c r="G426" s="6"/>
      <c r="H426" s="26"/>
      <c r="I426" s="6"/>
      <c r="J426" s="26"/>
      <c r="K426" s="6"/>
      <c r="L426" s="26"/>
      <c r="M426" s="6"/>
      <c r="N426" s="96"/>
    </row>
    <row r="427" spans="2:14" x14ac:dyDescent="0.25">
      <c r="B427" s="43">
        <v>423</v>
      </c>
      <c r="C427" s="6"/>
      <c r="D427" s="97" t="s">
        <v>1009</v>
      </c>
      <c r="E427" s="8">
        <v>6800</v>
      </c>
      <c r="F427" s="26" t="s">
        <v>1015</v>
      </c>
      <c r="G427" s="6"/>
      <c r="H427" s="26"/>
      <c r="I427" s="6"/>
      <c r="J427" s="26"/>
      <c r="K427" s="6"/>
      <c r="L427" s="26"/>
      <c r="M427" s="6"/>
      <c r="N427" s="96"/>
    </row>
    <row r="428" spans="2:14" x14ac:dyDescent="0.25">
      <c r="B428" s="43">
        <v>424</v>
      </c>
      <c r="C428" s="6"/>
      <c r="D428" s="97" t="s">
        <v>1010</v>
      </c>
      <c r="E428" s="8">
        <v>6800</v>
      </c>
      <c r="F428" s="26" t="s">
        <v>1015</v>
      </c>
      <c r="G428" s="6"/>
      <c r="H428" s="26"/>
      <c r="I428" s="6"/>
      <c r="J428" s="26"/>
      <c r="K428" s="6"/>
      <c r="L428" s="26"/>
      <c r="M428" s="6"/>
      <c r="N428" s="96"/>
    </row>
    <row r="429" spans="2:14" x14ac:dyDescent="0.25">
      <c r="B429" s="43">
        <v>425</v>
      </c>
      <c r="C429" s="6"/>
      <c r="D429" s="97" t="s">
        <v>1011</v>
      </c>
      <c r="E429" s="8">
        <v>6800</v>
      </c>
      <c r="F429" s="26" t="s">
        <v>1015</v>
      </c>
      <c r="G429" s="6"/>
      <c r="H429" s="26"/>
      <c r="I429" s="6"/>
      <c r="J429" s="26"/>
      <c r="K429" s="6"/>
      <c r="L429" s="26"/>
      <c r="M429" s="6"/>
      <c r="N429" s="96"/>
    </row>
    <row r="430" spans="2:14" x14ac:dyDescent="0.25">
      <c r="B430" s="43">
        <v>426</v>
      </c>
      <c r="C430" s="6"/>
      <c r="D430" s="97" t="s">
        <v>1012</v>
      </c>
      <c r="E430" s="8">
        <v>6800</v>
      </c>
      <c r="F430" s="26" t="s">
        <v>1015</v>
      </c>
      <c r="G430" s="6"/>
      <c r="H430" s="26"/>
      <c r="I430" s="6"/>
      <c r="J430" s="26"/>
      <c r="K430" s="6"/>
      <c r="L430" s="26"/>
      <c r="M430" s="6"/>
      <c r="N430" s="96"/>
    </row>
    <row r="431" spans="2:14" x14ac:dyDescent="0.25">
      <c r="B431" s="43">
        <v>427</v>
      </c>
      <c r="C431" s="6"/>
      <c r="D431" s="97" t="s">
        <v>1013</v>
      </c>
      <c r="E431" s="8">
        <v>6800</v>
      </c>
      <c r="F431" s="26" t="s">
        <v>1015</v>
      </c>
      <c r="G431" s="6"/>
      <c r="H431" s="26"/>
      <c r="I431" s="6"/>
      <c r="J431" s="26"/>
      <c r="K431" s="6"/>
      <c r="L431" s="26"/>
      <c r="M431" s="6"/>
      <c r="N431" s="96"/>
    </row>
    <row r="432" spans="2:14" x14ac:dyDescent="0.25">
      <c r="B432" s="43">
        <v>428</v>
      </c>
      <c r="C432" s="6"/>
      <c r="D432" s="97" t="s">
        <v>1014</v>
      </c>
      <c r="E432" s="8">
        <v>6800</v>
      </c>
      <c r="F432" s="26" t="s">
        <v>1015</v>
      </c>
      <c r="G432" s="6"/>
      <c r="H432" s="26"/>
      <c r="I432" s="6"/>
      <c r="J432" s="26"/>
      <c r="K432" s="6"/>
      <c r="L432" s="26"/>
      <c r="M432" s="6"/>
      <c r="N432" s="96"/>
    </row>
    <row r="433" spans="2:14" x14ac:dyDescent="0.25">
      <c r="B433" s="43"/>
      <c r="C433" s="6"/>
      <c r="D433" s="97"/>
      <c r="E433" s="8"/>
      <c r="F433" s="26"/>
      <c r="G433" s="6"/>
      <c r="H433" s="26"/>
      <c r="I433" s="6"/>
      <c r="J433" s="26"/>
      <c r="K433" s="6"/>
      <c r="L433" s="26"/>
      <c r="M433" s="6"/>
      <c r="N433" s="96"/>
    </row>
    <row r="434" spans="2:14" x14ac:dyDescent="0.25">
      <c r="B434" s="43"/>
      <c r="C434" s="6"/>
      <c r="D434" s="97"/>
      <c r="E434" s="8"/>
      <c r="F434" s="26"/>
      <c r="G434" s="6"/>
      <c r="H434" s="26"/>
      <c r="I434" s="6"/>
      <c r="J434" s="26"/>
      <c r="K434" s="6"/>
      <c r="L434" s="26"/>
      <c r="M434" s="6"/>
      <c r="N434" s="96"/>
    </row>
  </sheetData>
  <autoFilter ref="B3:N426" xr:uid="{747F0313-DC3F-4C8F-ACE3-93B563F97EFB}">
    <filterColumn colId="3" showButton="0"/>
    <filterColumn colId="5" showButton="0"/>
    <filterColumn colId="7" showButton="0"/>
    <filterColumn colId="9" showButton="0"/>
    <filterColumn colId="11" showButton="0"/>
  </autoFilter>
  <mergeCells count="8">
    <mergeCell ref="M3:N3"/>
    <mergeCell ref="K3:L3"/>
    <mergeCell ref="E3:F3"/>
    <mergeCell ref="B3:B4"/>
    <mergeCell ref="D3:D4"/>
    <mergeCell ref="G3:H3"/>
    <mergeCell ref="I3:J3"/>
    <mergeCell ref="C3:C4"/>
  </mergeCells>
  <pageMargins left="0.7" right="0.7" top="0.75" bottom="0.75" header="0.3" footer="0.3"/>
  <pageSetup orientation="portrait" horizontalDpi="300" verticalDpi="3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23D3B-CE15-4719-9490-8EFCFD13E7BE}">
  <dimension ref="A1:I434"/>
  <sheetViews>
    <sheetView tabSelected="1" topLeftCell="B1" workbookViewId="0">
      <selection activeCell="I10" sqref="I10"/>
    </sheetView>
  </sheetViews>
  <sheetFormatPr defaultRowHeight="15" x14ac:dyDescent="0.25"/>
  <cols>
    <col min="1" max="1" width="2" style="37" customWidth="1"/>
    <col min="2" max="2" width="5" style="54" customWidth="1"/>
    <col min="3" max="3" width="20.140625" style="54" bestFit="1" customWidth="1"/>
    <col min="4" max="4" width="68.140625" style="111" customWidth="1"/>
    <col min="5" max="5" width="12.5703125" style="112" bestFit="1" customWidth="1"/>
    <col min="6" max="9" width="12.5703125" style="54" bestFit="1" customWidth="1"/>
  </cols>
  <sheetData>
    <row r="1" spans="1:7" ht="15.75" x14ac:dyDescent="0.25">
      <c r="B1" s="55" t="s">
        <v>0</v>
      </c>
      <c r="C1" s="57"/>
      <c r="D1" s="55"/>
      <c r="E1" s="83"/>
      <c r="F1" s="57"/>
      <c r="G1" s="57"/>
    </row>
    <row r="2" spans="1:7" ht="15.75" x14ac:dyDescent="0.25">
      <c r="B2" s="53"/>
      <c r="C2" s="57" t="s">
        <v>730</v>
      </c>
      <c r="D2" s="55"/>
      <c r="E2" s="83"/>
      <c r="F2" s="57"/>
      <c r="G2" s="57"/>
    </row>
    <row r="3" spans="1:7" x14ac:dyDescent="0.25">
      <c r="B3" s="120" t="s">
        <v>3</v>
      </c>
      <c r="C3" s="121" t="s">
        <v>397</v>
      </c>
      <c r="D3" s="123" t="s">
        <v>2</v>
      </c>
      <c r="E3" s="127" t="s">
        <v>1</v>
      </c>
    </row>
    <row r="4" spans="1:7" x14ac:dyDescent="0.25">
      <c r="A4" s="87"/>
      <c r="B4" s="120"/>
      <c r="C4" s="122"/>
      <c r="D4" s="123"/>
      <c r="E4" s="128"/>
    </row>
    <row r="5" spans="1:7" x14ac:dyDescent="0.25">
      <c r="A5" s="50"/>
      <c r="B5" s="76">
        <v>1</v>
      </c>
      <c r="C5" s="76" t="s">
        <v>457</v>
      </c>
      <c r="D5" s="88" t="s">
        <v>4</v>
      </c>
      <c r="E5" s="89">
        <v>7000</v>
      </c>
    </row>
    <row r="6" spans="1:7" x14ac:dyDescent="0.25">
      <c r="A6" s="50"/>
      <c r="B6" s="76">
        <v>2</v>
      </c>
      <c r="C6" s="76" t="s">
        <v>498</v>
      </c>
      <c r="D6" s="88" t="s">
        <v>5</v>
      </c>
      <c r="E6" s="89">
        <v>5610</v>
      </c>
    </row>
    <row r="7" spans="1:7" x14ac:dyDescent="0.25">
      <c r="A7" s="50"/>
      <c r="B7" s="76">
        <v>3</v>
      </c>
      <c r="C7" s="76" t="s">
        <v>499</v>
      </c>
      <c r="D7" s="88" t="s">
        <v>6</v>
      </c>
      <c r="E7" s="89">
        <v>4544</v>
      </c>
    </row>
    <row r="8" spans="1:7" x14ac:dyDescent="0.25">
      <c r="A8" s="50"/>
      <c r="B8" s="76">
        <v>4</v>
      </c>
      <c r="C8" s="76" t="s">
        <v>459</v>
      </c>
      <c r="D8" s="88" t="s">
        <v>7</v>
      </c>
      <c r="E8" s="89">
        <v>5000</v>
      </c>
    </row>
    <row r="9" spans="1:7" x14ac:dyDescent="0.25">
      <c r="A9" s="50"/>
      <c r="B9" s="76">
        <v>5</v>
      </c>
      <c r="C9" s="76" t="s">
        <v>458</v>
      </c>
      <c r="D9" s="88" t="s">
        <v>8</v>
      </c>
      <c r="E9" s="89">
        <v>4300</v>
      </c>
    </row>
    <row r="10" spans="1:7" x14ac:dyDescent="0.25">
      <c r="A10" s="50"/>
      <c r="B10" s="76">
        <v>6</v>
      </c>
      <c r="C10" s="76" t="s">
        <v>490</v>
      </c>
      <c r="D10" s="88" t="s">
        <v>9</v>
      </c>
      <c r="E10" s="89">
        <v>2839</v>
      </c>
    </row>
    <row r="11" spans="1:7" x14ac:dyDescent="0.25">
      <c r="A11" s="50"/>
      <c r="B11" s="76">
        <v>7</v>
      </c>
      <c r="C11" s="76" t="s">
        <v>500</v>
      </c>
      <c r="D11" s="88" t="s">
        <v>10</v>
      </c>
      <c r="E11" s="89">
        <v>4544</v>
      </c>
    </row>
    <row r="12" spans="1:7" x14ac:dyDescent="0.25">
      <c r="A12" s="50"/>
      <c r="B12" s="76">
        <v>8</v>
      </c>
      <c r="C12" s="76" t="s">
        <v>497</v>
      </c>
      <c r="D12" s="88" t="s">
        <v>11</v>
      </c>
      <c r="E12" s="89">
        <v>5100</v>
      </c>
    </row>
    <row r="13" spans="1:7" x14ac:dyDescent="0.25">
      <c r="A13" s="50"/>
      <c r="B13" s="76">
        <v>9</v>
      </c>
      <c r="C13" s="76" t="s">
        <v>491</v>
      </c>
      <c r="D13" s="88" t="s">
        <v>12</v>
      </c>
      <c r="E13" s="89">
        <v>7160</v>
      </c>
    </row>
    <row r="14" spans="1:7" x14ac:dyDescent="0.25">
      <c r="A14" s="50"/>
      <c r="B14" s="76">
        <v>10</v>
      </c>
      <c r="C14" s="76" t="s">
        <v>492</v>
      </c>
      <c r="D14" s="88" t="s">
        <v>13</v>
      </c>
      <c r="E14" s="89">
        <v>3350</v>
      </c>
    </row>
    <row r="15" spans="1:7" x14ac:dyDescent="0.25">
      <c r="A15" s="50"/>
      <c r="B15" s="76">
        <v>11</v>
      </c>
      <c r="C15" s="76" t="s">
        <v>421</v>
      </c>
      <c r="D15" s="88" t="s">
        <v>14</v>
      </c>
      <c r="E15" s="89">
        <v>25200</v>
      </c>
    </row>
    <row r="16" spans="1:7" x14ac:dyDescent="0.25">
      <c r="A16" s="50"/>
      <c r="B16" s="76">
        <v>12</v>
      </c>
      <c r="C16" s="76" t="s">
        <v>493</v>
      </c>
      <c r="D16" s="88" t="s">
        <v>15</v>
      </c>
      <c r="E16" s="89">
        <v>19000</v>
      </c>
    </row>
    <row r="17" spans="1:5" x14ac:dyDescent="0.25">
      <c r="A17" s="50"/>
      <c r="B17" s="76">
        <v>13</v>
      </c>
      <c r="C17" s="76" t="s">
        <v>966</v>
      </c>
      <c r="D17" s="88" t="s">
        <v>17</v>
      </c>
      <c r="E17" s="89">
        <v>2910</v>
      </c>
    </row>
    <row r="18" spans="1:5" x14ac:dyDescent="0.25">
      <c r="A18" s="50"/>
      <c r="B18" s="76">
        <v>14</v>
      </c>
      <c r="C18" s="76" t="s">
        <v>422</v>
      </c>
      <c r="D18" s="88" t="s">
        <v>16</v>
      </c>
      <c r="E18" s="89">
        <v>339</v>
      </c>
    </row>
    <row r="19" spans="1:5" x14ac:dyDescent="0.25">
      <c r="A19" s="50"/>
      <c r="B19" s="76">
        <v>15</v>
      </c>
      <c r="C19" s="76" t="s">
        <v>495</v>
      </c>
      <c r="D19" s="88" t="s">
        <v>18</v>
      </c>
      <c r="E19" s="89">
        <v>339</v>
      </c>
    </row>
    <row r="20" spans="1:5" x14ac:dyDescent="0.25">
      <c r="A20" s="50"/>
      <c r="B20" s="76">
        <v>16</v>
      </c>
      <c r="C20" s="76" t="s">
        <v>496</v>
      </c>
      <c r="D20" s="88" t="s">
        <v>19</v>
      </c>
      <c r="E20" s="89">
        <v>3150</v>
      </c>
    </row>
    <row r="21" spans="1:5" x14ac:dyDescent="0.25">
      <c r="A21" s="50"/>
      <c r="B21" s="76">
        <v>17</v>
      </c>
      <c r="C21" s="76" t="s">
        <v>423</v>
      </c>
      <c r="D21" s="88" t="s">
        <v>20</v>
      </c>
      <c r="E21" s="89">
        <v>3150</v>
      </c>
    </row>
    <row r="22" spans="1:5" x14ac:dyDescent="0.25">
      <c r="A22" s="50"/>
      <c r="B22" s="76">
        <v>18</v>
      </c>
      <c r="C22" s="76" t="s">
        <v>398</v>
      </c>
      <c r="D22" s="88" t="s">
        <v>21</v>
      </c>
      <c r="E22" s="89">
        <v>19000</v>
      </c>
    </row>
    <row r="23" spans="1:5" x14ac:dyDescent="0.25">
      <c r="A23" s="50"/>
      <c r="B23" s="76">
        <v>19</v>
      </c>
      <c r="C23" s="76" t="s">
        <v>399</v>
      </c>
      <c r="D23" s="88" t="s">
        <v>22</v>
      </c>
      <c r="E23" s="89">
        <v>28500</v>
      </c>
    </row>
    <row r="24" spans="1:5" x14ac:dyDescent="0.25">
      <c r="A24" s="50"/>
      <c r="B24" s="76">
        <v>20</v>
      </c>
      <c r="C24" s="76" t="s">
        <v>424</v>
      </c>
      <c r="D24" s="88" t="s">
        <v>23</v>
      </c>
      <c r="E24" s="89">
        <v>395000</v>
      </c>
    </row>
    <row r="25" spans="1:5" x14ac:dyDescent="0.25">
      <c r="A25" s="50"/>
      <c r="B25" s="76">
        <v>21</v>
      </c>
      <c r="C25" s="76" t="s">
        <v>400</v>
      </c>
      <c r="D25" s="88" t="s">
        <v>24</v>
      </c>
      <c r="E25" s="89">
        <v>22000</v>
      </c>
    </row>
    <row r="26" spans="1:5" x14ac:dyDescent="0.25">
      <c r="A26" s="50"/>
      <c r="B26" s="76">
        <v>22</v>
      </c>
      <c r="C26" s="76" t="s">
        <v>401</v>
      </c>
      <c r="D26" s="88" t="s">
        <v>25</v>
      </c>
      <c r="E26" s="89">
        <v>35000</v>
      </c>
    </row>
    <row r="27" spans="1:5" x14ac:dyDescent="0.25">
      <c r="A27" s="50"/>
      <c r="B27" s="76">
        <v>23</v>
      </c>
      <c r="C27" s="76" t="s">
        <v>402</v>
      </c>
      <c r="D27" s="88" t="s">
        <v>26</v>
      </c>
      <c r="E27" s="89">
        <v>38000</v>
      </c>
    </row>
    <row r="28" spans="1:5" x14ac:dyDescent="0.25">
      <c r="A28" s="50"/>
      <c r="B28" s="76">
        <v>24</v>
      </c>
      <c r="C28" s="76" t="s">
        <v>403</v>
      </c>
      <c r="D28" s="88" t="s">
        <v>27</v>
      </c>
      <c r="E28" s="89">
        <v>44000</v>
      </c>
    </row>
    <row r="29" spans="1:5" x14ac:dyDescent="0.25">
      <c r="A29" s="50"/>
      <c r="B29" s="76">
        <v>25</v>
      </c>
      <c r="C29" s="76" t="s">
        <v>404</v>
      </c>
      <c r="D29" s="88" t="s">
        <v>708</v>
      </c>
      <c r="E29" s="89">
        <v>33000</v>
      </c>
    </row>
    <row r="30" spans="1:5" x14ac:dyDescent="0.25">
      <c r="A30" s="50"/>
      <c r="B30" s="76">
        <v>26</v>
      </c>
      <c r="C30" s="76" t="s">
        <v>707</v>
      </c>
      <c r="D30" s="88" t="s">
        <v>709</v>
      </c>
      <c r="E30" s="89">
        <v>185000</v>
      </c>
    </row>
    <row r="31" spans="1:5" x14ac:dyDescent="0.25">
      <c r="A31" s="50"/>
      <c r="B31" s="76">
        <v>27</v>
      </c>
      <c r="C31" s="76" t="s">
        <v>711</v>
      </c>
      <c r="D31" s="88" t="s">
        <v>712</v>
      </c>
      <c r="E31" s="89">
        <v>925000</v>
      </c>
    </row>
    <row r="32" spans="1:5" x14ac:dyDescent="0.25">
      <c r="A32" s="50"/>
      <c r="B32" s="76">
        <v>28</v>
      </c>
      <c r="C32" s="76" t="s">
        <v>405</v>
      </c>
      <c r="D32" s="88" t="s">
        <v>28</v>
      </c>
      <c r="E32" s="89">
        <v>2500</v>
      </c>
    </row>
    <row r="33" spans="1:5" x14ac:dyDescent="0.25">
      <c r="A33" s="50"/>
      <c r="B33" s="76">
        <v>29</v>
      </c>
      <c r="C33" s="76" t="s">
        <v>406</v>
      </c>
      <c r="D33" s="88" t="s">
        <v>29</v>
      </c>
      <c r="E33" s="89">
        <v>5000</v>
      </c>
    </row>
    <row r="34" spans="1:5" x14ac:dyDescent="0.25">
      <c r="A34" s="50"/>
      <c r="B34" s="76">
        <v>30</v>
      </c>
      <c r="C34" s="76" t="s">
        <v>407</v>
      </c>
      <c r="D34" s="88" t="s">
        <v>30</v>
      </c>
      <c r="E34" s="89">
        <v>10000</v>
      </c>
    </row>
    <row r="35" spans="1:5" x14ac:dyDescent="0.25">
      <c r="A35" s="50"/>
      <c r="B35" s="76">
        <v>31</v>
      </c>
      <c r="C35" s="76" t="s">
        <v>408</v>
      </c>
      <c r="D35" s="88" t="s">
        <v>31</v>
      </c>
      <c r="E35" s="89">
        <v>16000</v>
      </c>
    </row>
    <row r="36" spans="1:5" x14ac:dyDescent="0.25">
      <c r="A36" s="50"/>
      <c r="B36" s="76">
        <v>32</v>
      </c>
      <c r="C36" s="76" t="s">
        <v>409</v>
      </c>
      <c r="D36" s="88" t="s">
        <v>32</v>
      </c>
      <c r="E36" s="89">
        <v>5000</v>
      </c>
    </row>
    <row r="37" spans="1:5" x14ac:dyDescent="0.25">
      <c r="A37" s="50"/>
      <c r="B37" s="76">
        <v>33</v>
      </c>
      <c r="C37" s="76" t="s">
        <v>406</v>
      </c>
      <c r="D37" s="88" t="s">
        <v>29</v>
      </c>
      <c r="E37" s="89">
        <v>5000</v>
      </c>
    </row>
    <row r="38" spans="1:5" x14ac:dyDescent="0.25">
      <c r="A38" s="50"/>
      <c r="B38" s="76">
        <v>34</v>
      </c>
      <c r="C38" s="76" t="s">
        <v>425</v>
      </c>
      <c r="D38" s="88" t="s">
        <v>33</v>
      </c>
      <c r="E38" s="89">
        <v>9550</v>
      </c>
    </row>
    <row r="39" spans="1:5" x14ac:dyDescent="0.25">
      <c r="A39" s="50"/>
      <c r="B39" s="76">
        <v>35</v>
      </c>
      <c r="C39" s="76" t="s">
        <v>428</v>
      </c>
      <c r="D39" s="88" t="s">
        <v>34</v>
      </c>
      <c r="E39" s="89">
        <v>3820</v>
      </c>
    </row>
    <row r="40" spans="1:5" x14ac:dyDescent="0.25">
      <c r="A40" s="50"/>
      <c r="B40" s="76">
        <v>36</v>
      </c>
      <c r="C40" s="76" t="s">
        <v>430</v>
      </c>
      <c r="D40" s="88" t="s">
        <v>35</v>
      </c>
      <c r="E40" s="89">
        <v>4400</v>
      </c>
    </row>
    <row r="41" spans="1:5" x14ac:dyDescent="0.25">
      <c r="A41" s="50"/>
      <c r="B41" s="76">
        <v>37</v>
      </c>
      <c r="C41" s="76" t="s">
        <v>431</v>
      </c>
      <c r="D41" s="88" t="s">
        <v>36</v>
      </c>
      <c r="E41" s="89">
        <v>2200</v>
      </c>
    </row>
    <row r="42" spans="1:5" x14ac:dyDescent="0.25">
      <c r="A42" s="50"/>
      <c r="B42" s="76">
        <v>38</v>
      </c>
      <c r="C42" s="76" t="s">
        <v>429</v>
      </c>
      <c r="D42" s="88" t="s">
        <v>37</v>
      </c>
      <c r="E42" s="89">
        <v>1350</v>
      </c>
    </row>
    <row r="43" spans="1:5" x14ac:dyDescent="0.25">
      <c r="A43" s="50"/>
      <c r="B43" s="76">
        <v>39</v>
      </c>
      <c r="C43" s="76" t="s">
        <v>432</v>
      </c>
      <c r="D43" s="88" t="s">
        <v>38</v>
      </c>
      <c r="E43" s="89">
        <v>5000</v>
      </c>
    </row>
    <row r="44" spans="1:5" x14ac:dyDescent="0.25">
      <c r="A44" s="50"/>
      <c r="B44" s="76">
        <v>40</v>
      </c>
      <c r="C44" s="76" t="s">
        <v>433</v>
      </c>
      <c r="D44" s="88" t="s">
        <v>39</v>
      </c>
      <c r="E44" s="89">
        <v>46440</v>
      </c>
    </row>
    <row r="45" spans="1:5" x14ac:dyDescent="0.25">
      <c r="A45" s="50"/>
      <c r="B45" s="76">
        <v>41</v>
      </c>
      <c r="C45" s="76" t="s">
        <v>434</v>
      </c>
      <c r="D45" s="88" t="s">
        <v>40</v>
      </c>
      <c r="E45" s="89">
        <v>25800</v>
      </c>
    </row>
    <row r="46" spans="1:5" x14ac:dyDescent="0.25">
      <c r="A46" s="50"/>
      <c r="B46" s="76">
        <v>42</v>
      </c>
      <c r="C46" s="76" t="s">
        <v>435</v>
      </c>
      <c r="D46" s="88" t="s">
        <v>41</v>
      </c>
      <c r="E46" s="89">
        <v>25800</v>
      </c>
    </row>
    <row r="47" spans="1:5" x14ac:dyDescent="0.25">
      <c r="A47" s="50"/>
      <c r="B47" s="76">
        <v>43</v>
      </c>
      <c r="C47" s="76" t="s">
        <v>436</v>
      </c>
      <c r="D47" s="88" t="s">
        <v>42</v>
      </c>
      <c r="E47" s="89">
        <v>12900</v>
      </c>
    </row>
    <row r="48" spans="1:5" x14ac:dyDescent="0.25">
      <c r="A48" s="50"/>
      <c r="B48" s="76">
        <v>44</v>
      </c>
      <c r="C48" s="76" t="s">
        <v>437</v>
      </c>
      <c r="D48" s="88" t="s">
        <v>43</v>
      </c>
      <c r="E48" s="89">
        <v>25800</v>
      </c>
    </row>
    <row r="49" spans="1:5" x14ac:dyDescent="0.25">
      <c r="A49" s="50"/>
      <c r="B49" s="76">
        <v>45</v>
      </c>
      <c r="C49" s="76" t="s">
        <v>438</v>
      </c>
      <c r="D49" s="88" t="s">
        <v>44</v>
      </c>
      <c r="E49" s="89">
        <v>46440</v>
      </c>
    </row>
    <row r="50" spans="1:5" x14ac:dyDescent="0.25">
      <c r="A50" s="50"/>
      <c r="B50" s="76">
        <v>46</v>
      </c>
      <c r="C50" s="76" t="s">
        <v>439</v>
      </c>
      <c r="D50" s="88" t="s">
        <v>45</v>
      </c>
      <c r="E50" s="89">
        <v>38700</v>
      </c>
    </row>
    <row r="51" spans="1:5" x14ac:dyDescent="0.25">
      <c r="A51" s="50"/>
      <c r="B51" s="76">
        <v>47</v>
      </c>
      <c r="C51" s="76" t="s">
        <v>440</v>
      </c>
      <c r="D51" s="88" t="s">
        <v>46</v>
      </c>
      <c r="E51" s="89">
        <v>69660</v>
      </c>
    </row>
    <row r="52" spans="1:5" x14ac:dyDescent="0.25">
      <c r="A52" s="50"/>
      <c r="B52" s="76">
        <v>48</v>
      </c>
      <c r="C52" s="76" t="s">
        <v>441</v>
      </c>
      <c r="D52" s="88" t="s">
        <v>47</v>
      </c>
      <c r="E52" s="89">
        <v>96750</v>
      </c>
    </row>
    <row r="53" spans="1:5" x14ac:dyDescent="0.25">
      <c r="A53" s="50"/>
      <c r="B53" s="76">
        <v>49</v>
      </c>
      <c r="C53" s="76" t="s">
        <v>965</v>
      </c>
      <c r="D53" s="88" t="s">
        <v>48</v>
      </c>
      <c r="E53" s="89">
        <v>2000</v>
      </c>
    </row>
    <row r="54" spans="1:5" x14ac:dyDescent="0.25">
      <c r="A54" s="50"/>
      <c r="B54" s="76">
        <v>50</v>
      </c>
      <c r="C54" s="76" t="s">
        <v>443</v>
      </c>
      <c r="D54" s="88" t="s">
        <v>49</v>
      </c>
      <c r="E54" s="89">
        <v>8800</v>
      </c>
    </row>
    <row r="55" spans="1:5" x14ac:dyDescent="0.25">
      <c r="A55" s="50"/>
      <c r="B55" s="76">
        <v>51</v>
      </c>
      <c r="C55" s="76" t="s">
        <v>501</v>
      </c>
      <c r="D55" s="88" t="s">
        <v>50</v>
      </c>
      <c r="E55" s="89">
        <v>19500</v>
      </c>
    </row>
    <row r="56" spans="1:5" x14ac:dyDescent="0.25">
      <c r="A56" s="50"/>
      <c r="B56" s="76">
        <v>52</v>
      </c>
      <c r="C56" s="76" t="s">
        <v>445</v>
      </c>
      <c r="D56" s="88" t="s">
        <v>51</v>
      </c>
      <c r="E56" s="89">
        <v>3125</v>
      </c>
    </row>
    <row r="57" spans="1:5" x14ac:dyDescent="0.25">
      <c r="A57" s="50"/>
      <c r="B57" s="76">
        <v>53</v>
      </c>
      <c r="C57" s="76" t="s">
        <v>446</v>
      </c>
      <c r="D57" s="88" t="s">
        <v>52</v>
      </c>
      <c r="E57" s="89">
        <v>2500</v>
      </c>
    </row>
    <row r="58" spans="1:5" x14ac:dyDescent="0.25">
      <c r="A58" s="50"/>
      <c r="B58" s="76">
        <v>54</v>
      </c>
      <c r="C58" s="76" t="s">
        <v>444</v>
      </c>
      <c r="D58" s="88" t="s">
        <v>53</v>
      </c>
      <c r="E58" s="89">
        <v>3000</v>
      </c>
    </row>
    <row r="59" spans="1:5" x14ac:dyDescent="0.25">
      <c r="A59" s="50"/>
      <c r="B59" s="76">
        <v>55</v>
      </c>
      <c r="C59" s="76" t="s">
        <v>448</v>
      </c>
      <c r="D59" s="88" t="s">
        <v>54</v>
      </c>
      <c r="E59" s="89">
        <v>2755</v>
      </c>
    </row>
    <row r="60" spans="1:5" x14ac:dyDescent="0.25">
      <c r="A60" s="50"/>
      <c r="B60" s="76">
        <v>56</v>
      </c>
      <c r="C60" s="76" t="s">
        <v>449</v>
      </c>
      <c r="D60" s="88" t="s">
        <v>55</v>
      </c>
      <c r="E60" s="89">
        <v>5510</v>
      </c>
    </row>
    <row r="61" spans="1:5" x14ac:dyDescent="0.25">
      <c r="A61" s="50"/>
      <c r="B61" s="76">
        <v>57</v>
      </c>
      <c r="C61" s="76" t="s">
        <v>447</v>
      </c>
      <c r="D61" s="88" t="s">
        <v>56</v>
      </c>
      <c r="E61" s="89">
        <v>4370</v>
      </c>
    </row>
    <row r="62" spans="1:5" x14ac:dyDescent="0.25">
      <c r="A62" s="50"/>
      <c r="B62" s="76">
        <v>58</v>
      </c>
      <c r="C62" s="76" t="s">
        <v>450</v>
      </c>
      <c r="D62" s="88" t="s">
        <v>57</v>
      </c>
      <c r="E62" s="89">
        <v>8740</v>
      </c>
    </row>
    <row r="63" spans="1:5" x14ac:dyDescent="0.25">
      <c r="A63" s="50"/>
      <c r="B63" s="76">
        <v>59</v>
      </c>
      <c r="C63" s="76" t="s">
        <v>451</v>
      </c>
      <c r="D63" s="88" t="s">
        <v>359</v>
      </c>
      <c r="E63" s="89">
        <v>4500</v>
      </c>
    </row>
    <row r="64" spans="1:5" x14ac:dyDescent="0.25">
      <c r="A64" s="50"/>
      <c r="B64" s="76">
        <v>60</v>
      </c>
      <c r="C64" s="76" t="s">
        <v>452</v>
      </c>
      <c r="D64" s="88" t="s">
        <v>358</v>
      </c>
      <c r="E64" s="89">
        <v>3250</v>
      </c>
    </row>
    <row r="65" spans="1:5" x14ac:dyDescent="0.25">
      <c r="A65" s="50"/>
      <c r="B65" s="76">
        <v>61</v>
      </c>
      <c r="C65" s="76" t="s">
        <v>453</v>
      </c>
      <c r="D65" s="88" t="s">
        <v>357</v>
      </c>
      <c r="E65" s="89">
        <v>1100</v>
      </c>
    </row>
    <row r="66" spans="1:5" x14ac:dyDescent="0.25">
      <c r="A66" s="50"/>
      <c r="B66" s="76">
        <v>62</v>
      </c>
      <c r="C66" s="76" t="s">
        <v>454</v>
      </c>
      <c r="D66" s="88" t="s">
        <v>356</v>
      </c>
      <c r="E66" s="89">
        <v>1614</v>
      </c>
    </row>
    <row r="67" spans="1:5" x14ac:dyDescent="0.25">
      <c r="A67" s="50"/>
      <c r="B67" s="76">
        <v>63</v>
      </c>
      <c r="C67" s="76" t="s">
        <v>455</v>
      </c>
      <c r="D67" s="88" t="s">
        <v>355</v>
      </c>
      <c r="E67" s="89">
        <v>3228</v>
      </c>
    </row>
    <row r="68" spans="1:5" x14ac:dyDescent="0.25">
      <c r="A68" s="50"/>
      <c r="B68" s="76">
        <v>64</v>
      </c>
      <c r="C68" s="76" t="s">
        <v>456</v>
      </c>
      <c r="D68" s="88" t="s">
        <v>58</v>
      </c>
      <c r="E68" s="89">
        <v>6456</v>
      </c>
    </row>
    <row r="69" spans="1:5" x14ac:dyDescent="0.25">
      <c r="A69" s="50"/>
      <c r="B69" s="76">
        <v>65</v>
      </c>
      <c r="C69" s="76" t="s">
        <v>502</v>
      </c>
      <c r="D69" s="88" t="s">
        <v>354</v>
      </c>
      <c r="E69" s="89">
        <v>4500</v>
      </c>
    </row>
    <row r="70" spans="1:5" x14ac:dyDescent="0.25">
      <c r="A70" s="50"/>
      <c r="B70" s="76">
        <v>66</v>
      </c>
      <c r="C70" s="76" t="s">
        <v>503</v>
      </c>
      <c r="D70" s="88" t="s">
        <v>360</v>
      </c>
      <c r="E70" s="89">
        <v>2175</v>
      </c>
    </row>
    <row r="71" spans="1:5" x14ac:dyDescent="0.25">
      <c r="A71" s="50"/>
      <c r="B71" s="76">
        <v>67</v>
      </c>
      <c r="C71" s="76" t="s">
        <v>504</v>
      </c>
      <c r="D71" s="88" t="s">
        <v>361</v>
      </c>
      <c r="E71" s="89">
        <v>5800</v>
      </c>
    </row>
    <row r="72" spans="1:5" x14ac:dyDescent="0.25">
      <c r="A72" s="50"/>
      <c r="B72" s="76">
        <v>68</v>
      </c>
      <c r="C72" s="76" t="s">
        <v>505</v>
      </c>
      <c r="D72" s="88" t="s">
        <v>59</v>
      </c>
      <c r="E72" s="89">
        <v>3700</v>
      </c>
    </row>
    <row r="73" spans="1:5" x14ac:dyDescent="0.25">
      <c r="A73" s="50"/>
      <c r="B73" s="76">
        <v>69</v>
      </c>
      <c r="C73" s="76" t="s">
        <v>738</v>
      </c>
      <c r="D73" s="88" t="s">
        <v>714</v>
      </c>
      <c r="E73" s="89">
        <v>810</v>
      </c>
    </row>
    <row r="74" spans="1:5" x14ac:dyDescent="0.25">
      <c r="A74" s="50"/>
      <c r="B74" s="76">
        <v>70</v>
      </c>
      <c r="C74" s="76" t="s">
        <v>739</v>
      </c>
      <c r="D74" s="88" t="s">
        <v>715</v>
      </c>
      <c r="E74" s="89">
        <v>2160</v>
      </c>
    </row>
    <row r="75" spans="1:5" x14ac:dyDescent="0.25">
      <c r="A75" s="50"/>
      <c r="B75" s="76">
        <v>71</v>
      </c>
      <c r="C75" s="76" t="s">
        <v>740</v>
      </c>
      <c r="D75" s="88" t="s">
        <v>716</v>
      </c>
      <c r="E75" s="89">
        <v>4320</v>
      </c>
    </row>
    <row r="76" spans="1:5" x14ac:dyDescent="0.25">
      <c r="A76" s="50"/>
      <c r="B76" s="76">
        <v>72</v>
      </c>
      <c r="C76" s="76" t="s">
        <v>741</v>
      </c>
      <c r="D76" s="88" t="s">
        <v>718</v>
      </c>
      <c r="E76" s="89">
        <v>810</v>
      </c>
    </row>
    <row r="77" spans="1:5" x14ac:dyDescent="0.25">
      <c r="A77" s="50"/>
      <c r="B77" s="76">
        <v>73</v>
      </c>
      <c r="C77" s="76" t="s">
        <v>742</v>
      </c>
      <c r="D77" s="88" t="s">
        <v>719</v>
      </c>
      <c r="E77" s="89">
        <v>2160</v>
      </c>
    </row>
    <row r="78" spans="1:5" x14ac:dyDescent="0.25">
      <c r="A78" s="50"/>
      <c r="B78" s="76">
        <v>74</v>
      </c>
      <c r="C78" s="76" t="s">
        <v>743</v>
      </c>
      <c r="D78" s="88" t="s">
        <v>720</v>
      </c>
      <c r="E78" s="89">
        <v>810</v>
      </c>
    </row>
    <row r="79" spans="1:5" x14ac:dyDescent="0.25">
      <c r="A79" s="50"/>
      <c r="B79" s="80">
        <v>75</v>
      </c>
      <c r="C79" s="76" t="s">
        <v>744</v>
      </c>
      <c r="D79" s="88" t="s">
        <v>721</v>
      </c>
      <c r="E79" s="89">
        <v>2160</v>
      </c>
    </row>
    <row r="80" spans="1:5" x14ac:dyDescent="0.25">
      <c r="A80" s="50"/>
      <c r="B80" s="76">
        <v>76</v>
      </c>
      <c r="C80" s="76" t="s">
        <v>460</v>
      </c>
      <c r="D80" s="88" t="s">
        <v>60</v>
      </c>
      <c r="E80" s="89">
        <v>970</v>
      </c>
    </row>
    <row r="81" spans="1:5" x14ac:dyDescent="0.25">
      <c r="A81" s="50"/>
      <c r="B81" s="76">
        <v>77</v>
      </c>
      <c r="C81" s="76" t="s">
        <v>461</v>
      </c>
      <c r="D81" s="88" t="s">
        <v>61</v>
      </c>
      <c r="E81" s="89">
        <v>895</v>
      </c>
    </row>
    <row r="82" spans="1:5" x14ac:dyDescent="0.25">
      <c r="A82" s="50"/>
      <c r="B82" s="76">
        <v>78</v>
      </c>
      <c r="C82" s="76" t="s">
        <v>727</v>
      </c>
      <c r="D82" s="88" t="s">
        <v>728</v>
      </c>
      <c r="E82" s="89">
        <v>3500</v>
      </c>
    </row>
    <row r="83" spans="1:5" x14ac:dyDescent="0.25">
      <c r="A83" s="50"/>
      <c r="B83" s="76">
        <v>79</v>
      </c>
      <c r="C83" s="76" t="s">
        <v>462</v>
      </c>
      <c r="D83" s="88" t="s">
        <v>62</v>
      </c>
      <c r="E83" s="89">
        <v>1300</v>
      </c>
    </row>
    <row r="84" spans="1:5" x14ac:dyDescent="0.25">
      <c r="A84" s="50"/>
      <c r="B84" s="76">
        <v>80</v>
      </c>
      <c r="C84" s="76" t="s">
        <v>463</v>
      </c>
      <c r="D84" s="88" t="s">
        <v>411</v>
      </c>
      <c r="E84" s="89">
        <v>1900</v>
      </c>
    </row>
    <row r="85" spans="1:5" x14ac:dyDescent="0.25">
      <c r="A85" s="50"/>
      <c r="B85" s="76">
        <v>81</v>
      </c>
      <c r="C85" s="76" t="s">
        <v>464</v>
      </c>
      <c r="D85" s="88" t="s">
        <v>63</v>
      </c>
      <c r="E85" s="89">
        <v>3800</v>
      </c>
    </row>
    <row r="86" spans="1:5" x14ac:dyDescent="0.25">
      <c r="A86" s="50"/>
      <c r="B86" s="76">
        <v>82</v>
      </c>
      <c r="C86" s="76" t="s">
        <v>465</v>
      </c>
      <c r="D86" s="88" t="s">
        <v>64</v>
      </c>
      <c r="E86" s="89">
        <v>1450</v>
      </c>
    </row>
    <row r="87" spans="1:5" x14ac:dyDescent="0.25">
      <c r="A87" s="50"/>
      <c r="B87" s="76">
        <v>83</v>
      </c>
      <c r="C87" s="76" t="s">
        <v>427</v>
      </c>
      <c r="D87" s="88" t="s">
        <v>65</v>
      </c>
      <c r="E87" s="89">
        <v>2900</v>
      </c>
    </row>
    <row r="88" spans="1:5" x14ac:dyDescent="0.25">
      <c r="A88" s="50"/>
      <c r="B88" s="76">
        <v>84</v>
      </c>
      <c r="C88" s="76" t="s">
        <v>426</v>
      </c>
      <c r="D88" s="88" t="s">
        <v>66</v>
      </c>
      <c r="E88" s="89">
        <v>5800</v>
      </c>
    </row>
    <row r="89" spans="1:5" x14ac:dyDescent="0.25">
      <c r="A89" s="50"/>
      <c r="B89" s="76">
        <v>85</v>
      </c>
      <c r="C89" s="76" t="s">
        <v>466</v>
      </c>
      <c r="D89" s="88" t="s">
        <v>67</v>
      </c>
      <c r="E89" s="89">
        <v>11600</v>
      </c>
    </row>
    <row r="90" spans="1:5" x14ac:dyDescent="0.25">
      <c r="A90" s="50"/>
      <c r="B90" s="76">
        <v>86</v>
      </c>
      <c r="C90" s="76" t="s">
        <v>467</v>
      </c>
      <c r="D90" s="88" t="s">
        <v>729</v>
      </c>
      <c r="E90" s="89">
        <v>2500</v>
      </c>
    </row>
    <row r="91" spans="1:5" x14ac:dyDescent="0.25">
      <c r="A91" s="50"/>
      <c r="B91" s="76">
        <v>87</v>
      </c>
      <c r="C91" s="76" t="s">
        <v>468</v>
      </c>
      <c r="D91" s="88" t="s">
        <v>1008</v>
      </c>
      <c r="E91" s="89">
        <v>5000</v>
      </c>
    </row>
    <row r="92" spans="1:5" x14ac:dyDescent="0.25">
      <c r="A92" s="50"/>
      <c r="B92" s="76">
        <v>88</v>
      </c>
      <c r="C92" s="76" t="s">
        <v>469</v>
      </c>
      <c r="D92" s="88" t="s">
        <v>68</v>
      </c>
      <c r="E92" s="89">
        <v>4600</v>
      </c>
    </row>
    <row r="93" spans="1:5" x14ac:dyDescent="0.25">
      <c r="A93" s="50"/>
      <c r="B93" s="76">
        <v>89</v>
      </c>
      <c r="C93" s="76" t="s">
        <v>470</v>
      </c>
      <c r="D93" s="88" t="s">
        <v>69</v>
      </c>
      <c r="E93" s="89">
        <v>9200</v>
      </c>
    </row>
    <row r="94" spans="1:5" x14ac:dyDescent="0.25">
      <c r="A94" s="50"/>
      <c r="B94" s="76">
        <v>90</v>
      </c>
      <c r="C94" s="76" t="s">
        <v>471</v>
      </c>
      <c r="D94" s="88" t="s">
        <v>70</v>
      </c>
      <c r="E94" s="89">
        <v>1838</v>
      </c>
    </row>
    <row r="95" spans="1:5" x14ac:dyDescent="0.25">
      <c r="A95" s="50"/>
      <c r="B95" s="76">
        <v>91</v>
      </c>
      <c r="C95" s="76" t="s">
        <v>472</v>
      </c>
      <c r="D95" s="88" t="s">
        <v>71</v>
      </c>
      <c r="E95" s="89">
        <v>4100</v>
      </c>
    </row>
    <row r="96" spans="1:5" x14ac:dyDescent="0.25">
      <c r="A96" s="50"/>
      <c r="B96" s="76">
        <v>92</v>
      </c>
      <c r="C96" s="76" t="s">
        <v>473</v>
      </c>
      <c r="D96" s="88" t="s">
        <v>72</v>
      </c>
      <c r="E96" s="89">
        <v>7350</v>
      </c>
    </row>
    <row r="97" spans="1:5" x14ac:dyDescent="0.25">
      <c r="A97" s="50"/>
      <c r="B97" s="76">
        <v>93</v>
      </c>
      <c r="C97" s="76" t="s">
        <v>474</v>
      </c>
      <c r="D97" s="88" t="s">
        <v>73</v>
      </c>
      <c r="E97" s="89">
        <v>1395</v>
      </c>
    </row>
    <row r="98" spans="1:5" x14ac:dyDescent="0.25">
      <c r="A98" s="50"/>
      <c r="B98" s="76">
        <v>94</v>
      </c>
      <c r="C98" s="76" t="s">
        <v>475</v>
      </c>
      <c r="D98" s="88" t="s">
        <v>74</v>
      </c>
      <c r="E98" s="89">
        <v>4150</v>
      </c>
    </row>
    <row r="99" spans="1:5" x14ac:dyDescent="0.25">
      <c r="A99" s="50"/>
      <c r="B99" s="76">
        <v>95</v>
      </c>
      <c r="C99" s="76" t="s">
        <v>476</v>
      </c>
      <c r="D99" s="88" t="s">
        <v>75</v>
      </c>
      <c r="E99" s="89">
        <v>5500</v>
      </c>
    </row>
    <row r="100" spans="1:5" x14ac:dyDescent="0.25">
      <c r="A100" s="50"/>
      <c r="B100" s="76">
        <v>96</v>
      </c>
      <c r="C100" s="76" t="s">
        <v>477</v>
      </c>
      <c r="D100" s="88" t="s">
        <v>76</v>
      </c>
      <c r="E100" s="89">
        <v>11000</v>
      </c>
    </row>
    <row r="101" spans="1:5" x14ac:dyDescent="0.25">
      <c r="A101" s="50"/>
      <c r="B101" s="76">
        <v>97</v>
      </c>
      <c r="C101" s="76" t="s">
        <v>478</v>
      </c>
      <c r="D101" s="88" t="s">
        <v>77</v>
      </c>
      <c r="E101" s="89">
        <v>16500</v>
      </c>
    </row>
    <row r="102" spans="1:5" x14ac:dyDescent="0.25">
      <c r="A102" s="50"/>
      <c r="B102" s="76">
        <v>98</v>
      </c>
      <c r="C102" s="76" t="s">
        <v>1006</v>
      </c>
      <c r="D102" s="88" t="s">
        <v>78</v>
      </c>
      <c r="E102" s="89">
        <v>4500</v>
      </c>
    </row>
    <row r="103" spans="1:5" x14ac:dyDescent="0.25">
      <c r="A103" s="50"/>
      <c r="B103" s="76">
        <v>99</v>
      </c>
      <c r="C103" s="76" t="s">
        <v>1005</v>
      </c>
      <c r="D103" s="88" t="s">
        <v>79</v>
      </c>
      <c r="E103" s="89">
        <v>6000</v>
      </c>
    </row>
    <row r="104" spans="1:5" x14ac:dyDescent="0.25">
      <c r="A104" s="50"/>
      <c r="B104" s="76">
        <v>100</v>
      </c>
      <c r="C104" s="76" t="s">
        <v>1007</v>
      </c>
      <c r="D104" s="88" t="s">
        <v>80</v>
      </c>
      <c r="E104" s="89">
        <v>12000</v>
      </c>
    </row>
    <row r="105" spans="1:5" x14ac:dyDescent="0.25">
      <c r="A105" s="50"/>
      <c r="B105" s="76">
        <v>101</v>
      </c>
      <c r="C105" s="76" t="s">
        <v>482</v>
      </c>
      <c r="D105" s="88" t="s">
        <v>81</v>
      </c>
      <c r="E105" s="89">
        <v>11025</v>
      </c>
    </row>
    <row r="106" spans="1:5" x14ac:dyDescent="0.25">
      <c r="A106" s="50"/>
      <c r="B106" s="76">
        <v>102</v>
      </c>
      <c r="C106" s="76" t="s">
        <v>483</v>
      </c>
      <c r="D106" s="88" t="s">
        <v>82</v>
      </c>
      <c r="E106" s="89">
        <v>1450</v>
      </c>
    </row>
    <row r="107" spans="1:5" x14ac:dyDescent="0.25">
      <c r="A107" s="50"/>
      <c r="B107" s="76">
        <v>103</v>
      </c>
      <c r="C107" s="76" t="s">
        <v>484</v>
      </c>
      <c r="D107" s="88" t="s">
        <v>83</v>
      </c>
      <c r="E107" s="89">
        <v>5873</v>
      </c>
    </row>
    <row r="108" spans="1:5" x14ac:dyDescent="0.25">
      <c r="A108" s="50"/>
      <c r="B108" s="76">
        <v>104</v>
      </c>
      <c r="C108" s="76" t="s">
        <v>485</v>
      </c>
      <c r="D108" s="88" t="s">
        <v>84</v>
      </c>
      <c r="E108" s="89">
        <v>11745</v>
      </c>
    </row>
    <row r="109" spans="1:5" x14ac:dyDescent="0.25">
      <c r="A109" s="50"/>
      <c r="B109" s="43">
        <v>105</v>
      </c>
      <c r="C109" s="93"/>
      <c r="D109" s="94" t="s">
        <v>85</v>
      </c>
      <c r="E109" s="95">
        <v>6750</v>
      </c>
    </row>
    <row r="110" spans="1:5" x14ac:dyDescent="0.25">
      <c r="A110" s="50"/>
      <c r="B110" s="43">
        <v>106</v>
      </c>
      <c r="C110" s="93"/>
      <c r="D110" s="94" t="s">
        <v>86</v>
      </c>
      <c r="E110" s="95">
        <v>4350</v>
      </c>
    </row>
    <row r="111" spans="1:5" x14ac:dyDescent="0.25">
      <c r="A111" s="50"/>
      <c r="B111" s="43">
        <v>107</v>
      </c>
      <c r="C111" s="93"/>
      <c r="D111" s="94" t="s">
        <v>87</v>
      </c>
      <c r="E111" s="95">
        <v>4350</v>
      </c>
    </row>
    <row r="112" spans="1:5" ht="30" x14ac:dyDescent="0.25">
      <c r="B112" s="43">
        <v>108</v>
      </c>
      <c r="C112" s="6" t="s">
        <v>506</v>
      </c>
      <c r="D112" s="77" t="s">
        <v>88</v>
      </c>
      <c r="E112" s="8">
        <v>22500</v>
      </c>
    </row>
    <row r="113" spans="2:5" ht="30" x14ac:dyDescent="0.25">
      <c r="B113" s="43">
        <v>109</v>
      </c>
      <c r="C113" s="6" t="s">
        <v>506</v>
      </c>
      <c r="D113" s="77" t="s">
        <v>89</v>
      </c>
      <c r="E113" s="8">
        <v>16000</v>
      </c>
    </row>
    <row r="114" spans="2:5" ht="30" x14ac:dyDescent="0.25">
      <c r="B114" s="43">
        <v>110</v>
      </c>
      <c r="C114" s="6" t="s">
        <v>507</v>
      </c>
      <c r="D114" s="77" t="s">
        <v>90</v>
      </c>
      <c r="E114" s="8">
        <v>18919</v>
      </c>
    </row>
    <row r="115" spans="2:5" x14ac:dyDescent="0.25">
      <c r="B115" s="43">
        <v>111</v>
      </c>
      <c r="C115" s="6" t="s">
        <v>508</v>
      </c>
      <c r="D115" s="97" t="s">
        <v>93</v>
      </c>
      <c r="E115" s="8">
        <v>8700</v>
      </c>
    </row>
    <row r="116" spans="2:5" x14ac:dyDescent="0.25">
      <c r="B116" s="43">
        <v>112</v>
      </c>
      <c r="C116" s="6" t="s">
        <v>509</v>
      </c>
      <c r="D116" s="97" t="s">
        <v>94</v>
      </c>
      <c r="E116" s="8">
        <v>5800</v>
      </c>
    </row>
    <row r="117" spans="2:5" x14ac:dyDescent="0.25">
      <c r="B117" s="43">
        <v>113</v>
      </c>
      <c r="C117" s="6" t="s">
        <v>510</v>
      </c>
      <c r="D117" s="97" t="s">
        <v>95</v>
      </c>
      <c r="E117" s="8">
        <v>8690</v>
      </c>
    </row>
    <row r="118" spans="2:5" x14ac:dyDescent="0.25">
      <c r="B118" s="43">
        <v>114</v>
      </c>
      <c r="C118" s="6" t="s">
        <v>822</v>
      </c>
      <c r="D118" s="97" t="s">
        <v>821</v>
      </c>
      <c r="E118" s="8">
        <v>5150</v>
      </c>
    </row>
    <row r="119" spans="2:5" x14ac:dyDescent="0.25">
      <c r="B119" s="43">
        <v>115</v>
      </c>
      <c r="C119" s="6" t="s">
        <v>512</v>
      </c>
      <c r="D119" s="97" t="s">
        <v>97</v>
      </c>
      <c r="E119" s="8">
        <v>5800</v>
      </c>
    </row>
    <row r="120" spans="2:5" x14ac:dyDescent="0.25">
      <c r="B120" s="43">
        <v>116</v>
      </c>
      <c r="C120" s="6" t="s">
        <v>513</v>
      </c>
      <c r="D120" s="97" t="s">
        <v>98</v>
      </c>
      <c r="E120" s="8">
        <v>5150</v>
      </c>
    </row>
    <row r="121" spans="2:5" x14ac:dyDescent="0.25">
      <c r="B121" s="43">
        <v>117</v>
      </c>
      <c r="C121" s="6" t="s">
        <v>514</v>
      </c>
      <c r="D121" s="97" t="s">
        <v>99</v>
      </c>
      <c r="E121" s="8">
        <v>5800</v>
      </c>
    </row>
    <row r="122" spans="2:5" x14ac:dyDescent="0.25">
      <c r="B122" s="43">
        <v>118</v>
      </c>
      <c r="C122" s="6" t="s">
        <v>515</v>
      </c>
      <c r="D122" s="97" t="s">
        <v>100</v>
      </c>
      <c r="E122" s="8">
        <v>5800</v>
      </c>
    </row>
    <row r="123" spans="2:5" x14ac:dyDescent="0.25">
      <c r="B123" s="43">
        <v>119</v>
      </c>
      <c r="C123" s="93"/>
      <c r="D123" s="97" t="s">
        <v>101</v>
      </c>
      <c r="E123" s="8">
        <v>60000</v>
      </c>
    </row>
    <row r="124" spans="2:5" x14ac:dyDescent="0.25">
      <c r="B124" s="43">
        <v>120</v>
      </c>
      <c r="C124" s="93"/>
      <c r="D124" s="97" t="s">
        <v>102</v>
      </c>
      <c r="E124" s="8">
        <v>5800</v>
      </c>
    </row>
    <row r="125" spans="2:5" x14ac:dyDescent="0.25">
      <c r="B125" s="43">
        <v>121</v>
      </c>
      <c r="C125" s="6" t="s">
        <v>818</v>
      </c>
      <c r="D125" s="97" t="s">
        <v>731</v>
      </c>
      <c r="E125" s="98">
        <v>13063</v>
      </c>
    </row>
    <row r="126" spans="2:5" x14ac:dyDescent="0.25">
      <c r="B126" s="43">
        <v>122</v>
      </c>
      <c r="C126" s="6" t="s">
        <v>517</v>
      </c>
      <c r="D126" s="97" t="s">
        <v>103</v>
      </c>
      <c r="E126" s="72">
        <v>2162</v>
      </c>
    </row>
    <row r="127" spans="2:5" x14ac:dyDescent="0.25">
      <c r="B127" s="43">
        <v>123</v>
      </c>
      <c r="C127" s="6" t="s">
        <v>518</v>
      </c>
      <c r="D127" s="97" t="s">
        <v>104</v>
      </c>
      <c r="E127" s="8">
        <v>3288</v>
      </c>
    </row>
    <row r="128" spans="2:5" x14ac:dyDescent="0.25">
      <c r="B128" s="43">
        <v>124</v>
      </c>
      <c r="C128" s="6" t="s">
        <v>519</v>
      </c>
      <c r="D128" s="97" t="s">
        <v>105</v>
      </c>
      <c r="E128" s="8">
        <v>4324</v>
      </c>
    </row>
    <row r="129" spans="2:5" x14ac:dyDescent="0.25">
      <c r="B129" s="43">
        <v>125</v>
      </c>
      <c r="C129" s="6" t="s">
        <v>520</v>
      </c>
      <c r="D129" s="97" t="s">
        <v>106</v>
      </c>
      <c r="E129" s="72">
        <v>8108</v>
      </c>
    </row>
    <row r="130" spans="2:5" x14ac:dyDescent="0.25">
      <c r="B130" s="43">
        <v>126</v>
      </c>
      <c r="C130" s="6" t="s">
        <v>975</v>
      </c>
      <c r="D130" s="97" t="s">
        <v>107</v>
      </c>
      <c r="E130" s="72">
        <v>7748</v>
      </c>
    </row>
    <row r="131" spans="2:5" x14ac:dyDescent="0.25">
      <c r="B131" s="43">
        <v>127</v>
      </c>
      <c r="C131" s="6" t="s">
        <v>522</v>
      </c>
      <c r="D131" s="97" t="s">
        <v>108</v>
      </c>
      <c r="E131" s="72">
        <v>5676</v>
      </c>
    </row>
    <row r="132" spans="2:5" x14ac:dyDescent="0.25">
      <c r="B132" s="43">
        <v>128</v>
      </c>
      <c r="C132" s="6" t="s">
        <v>523</v>
      </c>
      <c r="D132" s="97" t="s">
        <v>109</v>
      </c>
      <c r="E132" s="72">
        <v>3874</v>
      </c>
    </row>
    <row r="133" spans="2:5" x14ac:dyDescent="0.25">
      <c r="B133" s="43">
        <v>129</v>
      </c>
      <c r="C133" s="6" t="s">
        <v>524</v>
      </c>
      <c r="D133" s="97" t="s">
        <v>110</v>
      </c>
      <c r="E133" s="72">
        <v>8649</v>
      </c>
    </row>
    <row r="134" spans="2:5" x14ac:dyDescent="0.25">
      <c r="B134" s="43">
        <v>130</v>
      </c>
      <c r="C134" s="6" t="s">
        <v>525</v>
      </c>
      <c r="D134" s="97" t="s">
        <v>111</v>
      </c>
      <c r="E134" s="72">
        <v>6577</v>
      </c>
    </row>
    <row r="135" spans="2:5" x14ac:dyDescent="0.25">
      <c r="B135" s="43">
        <v>131</v>
      </c>
      <c r="C135" s="6" t="s">
        <v>526</v>
      </c>
      <c r="D135" s="97" t="s">
        <v>112</v>
      </c>
      <c r="E135" s="72">
        <v>4324</v>
      </c>
    </row>
    <row r="136" spans="2:5" x14ac:dyDescent="0.25">
      <c r="B136" s="43">
        <v>132</v>
      </c>
      <c r="C136" s="6" t="s">
        <v>528</v>
      </c>
      <c r="D136" s="97" t="s">
        <v>113</v>
      </c>
      <c r="E136" s="72">
        <v>7748</v>
      </c>
    </row>
    <row r="137" spans="2:5" x14ac:dyDescent="0.25">
      <c r="B137" s="93">
        <v>133</v>
      </c>
      <c r="C137" s="93" t="s">
        <v>529</v>
      </c>
      <c r="D137" s="113" t="s">
        <v>413</v>
      </c>
      <c r="E137" s="114">
        <v>5450</v>
      </c>
    </row>
    <row r="138" spans="2:5" x14ac:dyDescent="0.25">
      <c r="B138" s="93">
        <v>134</v>
      </c>
      <c r="C138" s="115" t="s">
        <v>527</v>
      </c>
      <c r="D138" s="116" t="s">
        <v>412</v>
      </c>
      <c r="E138" s="117">
        <v>4324</v>
      </c>
    </row>
    <row r="139" spans="2:5" x14ac:dyDescent="0.25">
      <c r="B139" s="93">
        <v>135</v>
      </c>
      <c r="C139" s="93" t="s">
        <v>530</v>
      </c>
      <c r="D139" s="113" t="s">
        <v>414</v>
      </c>
      <c r="E139" s="118">
        <v>5450</v>
      </c>
    </row>
    <row r="140" spans="2:5" x14ac:dyDescent="0.25">
      <c r="B140" s="93">
        <v>136</v>
      </c>
      <c r="C140" s="93" t="s">
        <v>531</v>
      </c>
      <c r="D140" s="113" t="s">
        <v>415</v>
      </c>
      <c r="E140" s="118">
        <v>7200</v>
      </c>
    </row>
    <row r="141" spans="2:5" x14ac:dyDescent="0.25">
      <c r="B141" s="43">
        <v>137</v>
      </c>
      <c r="C141" s="6" t="s">
        <v>532</v>
      </c>
      <c r="D141" s="97" t="s">
        <v>114</v>
      </c>
      <c r="E141" s="8">
        <v>1900</v>
      </c>
    </row>
    <row r="142" spans="2:5" x14ac:dyDescent="0.25">
      <c r="B142" s="43">
        <v>138</v>
      </c>
      <c r="C142" s="6" t="s">
        <v>533</v>
      </c>
      <c r="D142" s="97" t="s">
        <v>115</v>
      </c>
      <c r="E142" s="8">
        <v>2900</v>
      </c>
    </row>
    <row r="143" spans="2:5" x14ac:dyDescent="0.25">
      <c r="B143" s="43">
        <v>139</v>
      </c>
      <c r="C143" s="6" t="s">
        <v>534</v>
      </c>
      <c r="D143" s="97" t="s">
        <v>116</v>
      </c>
      <c r="E143" s="8">
        <v>3800</v>
      </c>
    </row>
    <row r="144" spans="2:5" x14ac:dyDescent="0.25">
      <c r="B144" s="43">
        <v>140</v>
      </c>
      <c r="C144" s="6" t="s">
        <v>697</v>
      </c>
      <c r="D144" s="97" t="s">
        <v>117</v>
      </c>
      <c r="E144" s="8">
        <v>1441</v>
      </c>
    </row>
    <row r="145" spans="2:5" x14ac:dyDescent="0.25">
      <c r="B145" s="43">
        <v>141</v>
      </c>
      <c r="C145" s="6" t="s">
        <v>696</v>
      </c>
      <c r="D145" s="97" t="s">
        <v>118</v>
      </c>
      <c r="E145" s="8">
        <v>2703</v>
      </c>
    </row>
    <row r="146" spans="2:5" x14ac:dyDescent="0.25">
      <c r="B146" s="43">
        <v>142</v>
      </c>
      <c r="C146" s="6" t="s">
        <v>698</v>
      </c>
      <c r="D146" s="97" t="s">
        <v>119</v>
      </c>
      <c r="E146" s="8">
        <v>5405</v>
      </c>
    </row>
    <row r="147" spans="2:5" x14ac:dyDescent="0.25">
      <c r="B147" s="43">
        <v>143</v>
      </c>
      <c r="C147" s="6" t="s">
        <v>777</v>
      </c>
      <c r="D147" s="97" t="s">
        <v>120</v>
      </c>
      <c r="E147" s="8">
        <v>721</v>
      </c>
    </row>
    <row r="148" spans="2:5" x14ac:dyDescent="0.25">
      <c r="B148" s="43">
        <v>144</v>
      </c>
      <c r="C148" s="6" t="s">
        <v>694</v>
      </c>
      <c r="D148" s="97" t="s">
        <v>121</v>
      </c>
      <c r="E148" s="8">
        <v>1081</v>
      </c>
    </row>
    <row r="149" spans="2:5" x14ac:dyDescent="0.25">
      <c r="B149" s="43">
        <v>145</v>
      </c>
      <c r="C149" s="6" t="s">
        <v>693</v>
      </c>
      <c r="D149" s="97" t="s">
        <v>122</v>
      </c>
      <c r="E149" s="8">
        <v>2072</v>
      </c>
    </row>
    <row r="150" spans="2:5" x14ac:dyDescent="0.25">
      <c r="B150" s="43">
        <v>146</v>
      </c>
      <c r="C150" s="6" t="s">
        <v>695</v>
      </c>
      <c r="D150" s="97" t="s">
        <v>123</v>
      </c>
      <c r="E150" s="8">
        <v>4144</v>
      </c>
    </row>
    <row r="151" spans="2:5" x14ac:dyDescent="0.25">
      <c r="B151" s="43">
        <v>147</v>
      </c>
      <c r="C151" s="6" t="s">
        <v>536</v>
      </c>
      <c r="D151" s="97" t="s">
        <v>124</v>
      </c>
      <c r="E151" s="72">
        <v>811</v>
      </c>
    </row>
    <row r="152" spans="2:5" x14ac:dyDescent="0.25">
      <c r="B152" s="43">
        <v>148</v>
      </c>
      <c r="C152" s="6" t="s">
        <v>779</v>
      </c>
      <c r="D152" s="97" t="s">
        <v>125</v>
      </c>
      <c r="E152" s="72">
        <f>ROUND((1400/1.11),0)</f>
        <v>1261</v>
      </c>
    </row>
    <row r="153" spans="2:5" x14ac:dyDescent="0.25">
      <c r="B153" s="43">
        <v>149</v>
      </c>
      <c r="C153" s="6" t="s">
        <v>706</v>
      </c>
      <c r="D153" s="97" t="s">
        <v>126</v>
      </c>
      <c r="E153" s="72">
        <v>2342</v>
      </c>
    </row>
    <row r="154" spans="2:5" x14ac:dyDescent="0.25">
      <c r="B154" s="43">
        <v>150</v>
      </c>
      <c r="C154" s="6" t="s">
        <v>831</v>
      </c>
      <c r="D154" s="97" t="s">
        <v>127</v>
      </c>
      <c r="E154" s="72">
        <v>4685</v>
      </c>
    </row>
    <row r="155" spans="2:5" x14ac:dyDescent="0.25">
      <c r="B155" s="43">
        <v>151</v>
      </c>
      <c r="C155" s="6" t="s">
        <v>539</v>
      </c>
      <c r="D155" s="97" t="s">
        <v>128</v>
      </c>
      <c r="E155" s="72">
        <v>3063</v>
      </c>
    </row>
    <row r="156" spans="2:5" x14ac:dyDescent="0.25">
      <c r="B156" s="43">
        <v>152</v>
      </c>
      <c r="C156" s="6" t="s">
        <v>540</v>
      </c>
      <c r="D156" s="97" t="s">
        <v>129</v>
      </c>
      <c r="E156" s="72">
        <v>1532</v>
      </c>
    </row>
    <row r="157" spans="2:5" x14ac:dyDescent="0.25">
      <c r="B157" s="43">
        <v>153</v>
      </c>
      <c r="C157" s="6" t="s">
        <v>778</v>
      </c>
      <c r="D157" s="97" t="s">
        <v>130</v>
      </c>
      <c r="E157" s="72">
        <v>2800</v>
      </c>
    </row>
    <row r="158" spans="2:5" x14ac:dyDescent="0.25">
      <c r="B158" s="43">
        <v>154</v>
      </c>
      <c r="C158" s="6" t="s">
        <v>780</v>
      </c>
      <c r="D158" s="97" t="s">
        <v>131</v>
      </c>
      <c r="E158" s="8">
        <v>4144</v>
      </c>
    </row>
    <row r="159" spans="2:5" x14ac:dyDescent="0.25">
      <c r="B159" s="43">
        <v>155</v>
      </c>
      <c r="C159" s="6" t="s">
        <v>544</v>
      </c>
      <c r="D159" s="97" t="s">
        <v>132</v>
      </c>
      <c r="E159" s="8">
        <v>5200</v>
      </c>
    </row>
    <row r="160" spans="2:5" x14ac:dyDescent="0.25">
      <c r="B160" s="43">
        <v>156</v>
      </c>
      <c r="C160" s="6" t="s">
        <v>782</v>
      </c>
      <c r="D160" s="97" t="s">
        <v>133</v>
      </c>
      <c r="E160" s="8">
        <v>5200</v>
      </c>
    </row>
    <row r="161" spans="2:5" x14ac:dyDescent="0.25">
      <c r="B161" s="43">
        <v>157</v>
      </c>
      <c r="C161" s="6" t="s">
        <v>781</v>
      </c>
      <c r="D161" s="97" t="s">
        <v>134</v>
      </c>
      <c r="E161" s="8">
        <v>4144</v>
      </c>
    </row>
    <row r="162" spans="2:5" x14ac:dyDescent="0.25">
      <c r="B162" s="43">
        <v>158</v>
      </c>
      <c r="C162" s="6" t="s">
        <v>832</v>
      </c>
      <c r="D162" s="97" t="s">
        <v>135</v>
      </c>
      <c r="E162" s="8">
        <v>5200</v>
      </c>
    </row>
    <row r="163" spans="2:5" x14ac:dyDescent="0.25">
      <c r="B163" s="43">
        <v>159</v>
      </c>
      <c r="C163" s="43" t="s">
        <v>774</v>
      </c>
      <c r="D163" s="97" t="s">
        <v>136</v>
      </c>
      <c r="E163" s="18">
        <v>1622</v>
      </c>
    </row>
    <row r="164" spans="2:5" x14ac:dyDescent="0.25">
      <c r="B164" s="43">
        <v>160</v>
      </c>
      <c r="C164" s="43" t="s">
        <v>1002</v>
      </c>
      <c r="D164" s="97" t="s">
        <v>137</v>
      </c>
      <c r="E164" s="18">
        <v>991</v>
      </c>
    </row>
    <row r="165" spans="2:5" x14ac:dyDescent="0.25">
      <c r="B165" s="43">
        <v>161</v>
      </c>
      <c r="C165" s="43" t="s">
        <v>746</v>
      </c>
      <c r="D165" s="97" t="s">
        <v>138</v>
      </c>
      <c r="E165" s="18">
        <v>2342</v>
      </c>
    </row>
    <row r="166" spans="2:5" x14ac:dyDescent="0.25">
      <c r="B166" s="43">
        <v>162</v>
      </c>
      <c r="C166" s="43" t="s">
        <v>745</v>
      </c>
      <c r="D166" s="97" t="s">
        <v>139</v>
      </c>
      <c r="E166" s="18">
        <v>1171</v>
      </c>
    </row>
    <row r="167" spans="2:5" x14ac:dyDescent="0.25">
      <c r="B167" s="43">
        <v>163</v>
      </c>
      <c r="C167" s="93"/>
      <c r="D167" s="97" t="s">
        <v>140</v>
      </c>
      <c r="E167" s="8">
        <v>6400</v>
      </c>
    </row>
    <row r="168" spans="2:5" x14ac:dyDescent="0.25">
      <c r="B168" s="43">
        <v>164</v>
      </c>
      <c r="C168" s="6" t="s">
        <v>548</v>
      </c>
      <c r="D168" s="97" t="s">
        <v>141</v>
      </c>
      <c r="E168" s="8">
        <v>11000</v>
      </c>
    </row>
    <row r="169" spans="2:5" x14ac:dyDescent="0.25">
      <c r="B169" s="43">
        <v>165</v>
      </c>
      <c r="C169" s="6" t="s">
        <v>551</v>
      </c>
      <c r="D169" s="97" t="s">
        <v>142</v>
      </c>
      <c r="E169" s="8">
        <v>4000</v>
      </c>
    </row>
    <row r="170" spans="2:5" x14ac:dyDescent="0.25">
      <c r="B170" s="43">
        <v>166</v>
      </c>
      <c r="C170" s="6" t="s">
        <v>552</v>
      </c>
      <c r="D170" s="97" t="s">
        <v>143</v>
      </c>
      <c r="E170" s="8">
        <v>2000</v>
      </c>
    </row>
    <row r="171" spans="2:5" x14ac:dyDescent="0.25">
      <c r="B171" s="43">
        <v>167</v>
      </c>
      <c r="C171" s="6" t="s">
        <v>825</v>
      </c>
      <c r="D171" s="97" t="s">
        <v>823</v>
      </c>
      <c r="E171" s="8">
        <v>3170</v>
      </c>
    </row>
    <row r="172" spans="2:5" x14ac:dyDescent="0.25">
      <c r="B172" s="43">
        <v>168</v>
      </c>
      <c r="C172" s="6" t="s">
        <v>826</v>
      </c>
      <c r="D172" s="97" t="s">
        <v>824</v>
      </c>
      <c r="E172" s="8">
        <v>5260</v>
      </c>
    </row>
    <row r="173" spans="2:5" x14ac:dyDescent="0.25">
      <c r="B173" s="43">
        <v>169</v>
      </c>
      <c r="C173" s="6" t="s">
        <v>553</v>
      </c>
      <c r="D173" s="97" t="s">
        <v>145</v>
      </c>
      <c r="E173" s="8">
        <v>3150</v>
      </c>
    </row>
    <row r="174" spans="2:5" x14ac:dyDescent="0.25">
      <c r="B174" s="43">
        <v>170</v>
      </c>
      <c r="C174" s="6" t="s">
        <v>554</v>
      </c>
      <c r="D174" s="97" t="s">
        <v>146</v>
      </c>
      <c r="E174" s="8">
        <v>6000</v>
      </c>
    </row>
    <row r="175" spans="2:5" x14ac:dyDescent="0.25">
      <c r="B175" s="43">
        <v>171</v>
      </c>
      <c r="C175" s="6" t="s">
        <v>555</v>
      </c>
      <c r="D175" s="97" t="s">
        <v>713</v>
      </c>
      <c r="E175" s="8">
        <v>1600</v>
      </c>
    </row>
    <row r="176" spans="2:5" x14ac:dyDescent="0.25">
      <c r="B176" s="43">
        <v>172</v>
      </c>
      <c r="C176" s="6" t="s">
        <v>553</v>
      </c>
      <c r="D176" s="97" t="s">
        <v>147</v>
      </c>
      <c r="E176" s="8">
        <v>3000</v>
      </c>
    </row>
    <row r="177" spans="1:5" x14ac:dyDescent="0.25">
      <c r="B177" s="43">
        <v>173</v>
      </c>
      <c r="C177" s="6" t="s">
        <v>553</v>
      </c>
      <c r="D177" s="97" t="s">
        <v>148</v>
      </c>
      <c r="E177" s="8">
        <v>3000</v>
      </c>
    </row>
    <row r="178" spans="1:5" x14ac:dyDescent="0.25">
      <c r="B178" s="43">
        <v>174</v>
      </c>
      <c r="C178" s="6" t="s">
        <v>556</v>
      </c>
      <c r="D178" s="97" t="s">
        <v>149</v>
      </c>
      <c r="E178" s="8">
        <v>5250</v>
      </c>
    </row>
    <row r="179" spans="1:5" x14ac:dyDescent="0.25">
      <c r="B179" s="43">
        <v>175</v>
      </c>
      <c r="C179" s="6" t="s">
        <v>557</v>
      </c>
      <c r="D179" s="97" t="s">
        <v>150</v>
      </c>
      <c r="E179" s="8">
        <v>5000</v>
      </c>
    </row>
    <row r="180" spans="1:5" x14ac:dyDescent="0.25">
      <c r="B180" s="43">
        <v>176</v>
      </c>
      <c r="C180" s="6" t="s">
        <v>558</v>
      </c>
      <c r="D180" s="97" t="s">
        <v>151</v>
      </c>
      <c r="E180" s="8">
        <v>2500</v>
      </c>
    </row>
    <row r="181" spans="1:5" x14ac:dyDescent="0.25">
      <c r="A181" s="50"/>
      <c r="B181" s="43">
        <v>177</v>
      </c>
      <c r="C181" s="43" t="s">
        <v>725</v>
      </c>
      <c r="D181" s="94" t="s">
        <v>726</v>
      </c>
      <c r="E181" s="95">
        <v>2850</v>
      </c>
    </row>
    <row r="182" spans="1:5" x14ac:dyDescent="0.25">
      <c r="B182" s="43">
        <v>178</v>
      </c>
      <c r="C182" s="6" t="s">
        <v>559</v>
      </c>
      <c r="D182" s="97" t="s">
        <v>152</v>
      </c>
      <c r="E182" s="8">
        <v>2500</v>
      </c>
    </row>
    <row r="183" spans="1:5" x14ac:dyDescent="0.25">
      <c r="B183" s="43">
        <v>179</v>
      </c>
      <c r="C183" s="6" t="s">
        <v>560</v>
      </c>
      <c r="D183" s="97" t="s">
        <v>153</v>
      </c>
      <c r="E183" s="8">
        <v>5000</v>
      </c>
    </row>
    <row r="184" spans="1:5" x14ac:dyDescent="0.25">
      <c r="B184" s="43">
        <v>180</v>
      </c>
      <c r="C184" s="6" t="s">
        <v>561</v>
      </c>
      <c r="D184" s="97" t="s">
        <v>154</v>
      </c>
      <c r="E184" s="8">
        <v>3150</v>
      </c>
    </row>
    <row r="185" spans="1:5" x14ac:dyDescent="0.25">
      <c r="B185" s="43">
        <v>181</v>
      </c>
      <c r="C185" s="6" t="s">
        <v>562</v>
      </c>
      <c r="D185" s="97" t="s">
        <v>155</v>
      </c>
      <c r="E185" s="8">
        <v>6300</v>
      </c>
    </row>
    <row r="186" spans="1:5" x14ac:dyDescent="0.25">
      <c r="B186" s="43">
        <v>182</v>
      </c>
      <c r="C186" s="6" t="s">
        <v>550</v>
      </c>
      <c r="D186" s="97" t="s">
        <v>156</v>
      </c>
      <c r="E186" s="8">
        <v>5250</v>
      </c>
    </row>
    <row r="187" spans="1:5" x14ac:dyDescent="0.25">
      <c r="B187" s="43">
        <v>183</v>
      </c>
      <c r="C187" s="6" t="s">
        <v>564</v>
      </c>
      <c r="D187" s="97" t="s">
        <v>157</v>
      </c>
      <c r="E187" s="8">
        <v>1250</v>
      </c>
    </row>
    <row r="188" spans="1:5" x14ac:dyDescent="0.25">
      <c r="B188" s="43">
        <v>184</v>
      </c>
      <c r="C188" s="6" t="s">
        <v>565</v>
      </c>
      <c r="D188" s="97" t="s">
        <v>158</v>
      </c>
      <c r="E188" s="8">
        <v>11250</v>
      </c>
    </row>
    <row r="189" spans="1:5" x14ac:dyDescent="0.25">
      <c r="B189" s="43">
        <v>185</v>
      </c>
      <c r="C189" s="6" t="s">
        <v>566</v>
      </c>
      <c r="D189" s="97" t="s">
        <v>159</v>
      </c>
      <c r="E189" s="8">
        <v>22500</v>
      </c>
    </row>
    <row r="190" spans="1:5" x14ac:dyDescent="0.25">
      <c r="B190" s="43">
        <v>186</v>
      </c>
      <c r="C190" s="6" t="s">
        <v>567</v>
      </c>
      <c r="D190" s="97" t="s">
        <v>160</v>
      </c>
      <c r="E190" s="8">
        <v>4725</v>
      </c>
    </row>
    <row r="191" spans="1:5" x14ac:dyDescent="0.25">
      <c r="B191" s="43">
        <v>187</v>
      </c>
      <c r="C191" s="6" t="s">
        <v>568</v>
      </c>
      <c r="D191" s="97" t="s">
        <v>161</v>
      </c>
      <c r="E191" s="8">
        <v>10500</v>
      </c>
    </row>
    <row r="192" spans="1:5" x14ac:dyDescent="0.25">
      <c r="B192" s="43">
        <v>188</v>
      </c>
      <c r="C192" s="6" t="s">
        <v>568</v>
      </c>
      <c r="D192" s="97" t="s">
        <v>161</v>
      </c>
      <c r="E192" s="8">
        <v>10500</v>
      </c>
    </row>
    <row r="193" spans="2:5" x14ac:dyDescent="0.25">
      <c r="B193" s="43">
        <v>189</v>
      </c>
      <c r="C193" s="6" t="s">
        <v>619</v>
      </c>
      <c r="D193" s="97" t="s">
        <v>162</v>
      </c>
      <c r="E193" s="8">
        <v>300000</v>
      </c>
    </row>
    <row r="194" spans="2:5" x14ac:dyDescent="0.25">
      <c r="B194" s="43">
        <v>190</v>
      </c>
      <c r="C194" s="6" t="s">
        <v>618</v>
      </c>
      <c r="D194" s="97" t="s">
        <v>163</v>
      </c>
      <c r="E194" s="8">
        <v>300000</v>
      </c>
    </row>
    <row r="195" spans="2:5" x14ac:dyDescent="0.25">
      <c r="B195" s="43">
        <v>191</v>
      </c>
      <c r="C195" s="6" t="s">
        <v>569</v>
      </c>
      <c r="D195" s="97" t="s">
        <v>164</v>
      </c>
      <c r="E195" s="8">
        <v>5000</v>
      </c>
    </row>
    <row r="196" spans="2:5" x14ac:dyDescent="0.25">
      <c r="B196" s="43">
        <v>192</v>
      </c>
      <c r="C196" s="43" t="s">
        <v>775</v>
      </c>
      <c r="D196" s="97" t="s">
        <v>165</v>
      </c>
      <c r="E196" s="8">
        <v>5000</v>
      </c>
    </row>
    <row r="197" spans="2:5" x14ac:dyDescent="0.25">
      <c r="B197" s="43">
        <v>193</v>
      </c>
      <c r="C197" s="93"/>
      <c r="D197" s="97" t="s">
        <v>166</v>
      </c>
      <c r="E197" s="8">
        <v>5175</v>
      </c>
    </row>
    <row r="198" spans="2:5" x14ac:dyDescent="0.25">
      <c r="B198" s="43">
        <v>194</v>
      </c>
      <c r="C198" s="93"/>
      <c r="D198" s="97" t="s">
        <v>167</v>
      </c>
      <c r="E198" s="8">
        <v>5175</v>
      </c>
    </row>
    <row r="199" spans="2:5" x14ac:dyDescent="0.25">
      <c r="B199" s="43">
        <v>195</v>
      </c>
      <c r="C199" s="93" t="s">
        <v>699</v>
      </c>
      <c r="D199" s="97" t="s">
        <v>168</v>
      </c>
      <c r="E199" s="8">
        <v>5300</v>
      </c>
    </row>
    <row r="200" spans="2:5" x14ac:dyDescent="0.25">
      <c r="B200" s="43">
        <v>196</v>
      </c>
      <c r="C200" s="6" t="s">
        <v>570</v>
      </c>
      <c r="D200" s="97" t="s">
        <v>169</v>
      </c>
      <c r="E200" s="8">
        <v>9600</v>
      </c>
    </row>
    <row r="201" spans="2:5" x14ac:dyDescent="0.25">
      <c r="B201" s="43">
        <v>197</v>
      </c>
      <c r="C201" s="6" t="s">
        <v>571</v>
      </c>
      <c r="D201" s="97" t="s">
        <v>170</v>
      </c>
      <c r="E201" s="8">
        <v>4800</v>
      </c>
    </row>
    <row r="202" spans="2:5" x14ac:dyDescent="0.25">
      <c r="B202" s="43">
        <v>198</v>
      </c>
      <c r="C202" s="6" t="s">
        <v>572</v>
      </c>
      <c r="D202" s="97" t="s">
        <v>171</v>
      </c>
      <c r="E202" s="8">
        <v>9600</v>
      </c>
    </row>
    <row r="203" spans="2:5" x14ac:dyDescent="0.25">
      <c r="B203" s="43">
        <v>199</v>
      </c>
      <c r="C203" s="6" t="s">
        <v>573</v>
      </c>
      <c r="D203" s="97" t="s">
        <v>172</v>
      </c>
      <c r="E203" s="8">
        <v>24000</v>
      </c>
    </row>
    <row r="204" spans="2:5" x14ac:dyDescent="0.25">
      <c r="B204" s="43">
        <v>200</v>
      </c>
      <c r="C204" s="6" t="s">
        <v>574</v>
      </c>
      <c r="D204" s="97" t="s">
        <v>173</v>
      </c>
      <c r="E204" s="8">
        <v>7200</v>
      </c>
    </row>
    <row r="205" spans="2:5" x14ac:dyDescent="0.25">
      <c r="B205" s="43">
        <v>201</v>
      </c>
      <c r="C205" s="6" t="s">
        <v>575</v>
      </c>
      <c r="D205" s="97" t="s">
        <v>174</v>
      </c>
      <c r="E205" s="8">
        <v>9600</v>
      </c>
    </row>
    <row r="206" spans="2:5" x14ac:dyDescent="0.25">
      <c r="B206" s="43">
        <v>202</v>
      </c>
      <c r="C206" s="6" t="s">
        <v>784</v>
      </c>
      <c r="D206" s="97" t="s">
        <v>175</v>
      </c>
      <c r="E206" s="8">
        <v>4800</v>
      </c>
    </row>
    <row r="207" spans="2:5" x14ac:dyDescent="0.25">
      <c r="B207" s="43">
        <v>203</v>
      </c>
      <c r="C207" s="6" t="s">
        <v>577</v>
      </c>
      <c r="D207" s="97" t="s">
        <v>176</v>
      </c>
      <c r="E207" s="8">
        <v>4800</v>
      </c>
    </row>
    <row r="208" spans="2:5" x14ac:dyDescent="0.25">
      <c r="B208" s="43">
        <v>204</v>
      </c>
      <c r="C208" s="6" t="s">
        <v>785</v>
      </c>
      <c r="D208" s="97" t="s">
        <v>177</v>
      </c>
      <c r="E208" s="8">
        <v>9600</v>
      </c>
    </row>
    <row r="209" spans="2:5" x14ac:dyDescent="0.25">
      <c r="B209" s="43">
        <v>205</v>
      </c>
      <c r="C209" s="6" t="s">
        <v>576</v>
      </c>
      <c r="D209" s="97" t="s">
        <v>178</v>
      </c>
      <c r="E209" s="8">
        <v>4800</v>
      </c>
    </row>
    <row r="210" spans="2:5" x14ac:dyDescent="0.25">
      <c r="B210" s="43">
        <v>206</v>
      </c>
      <c r="C210" s="6" t="s">
        <v>579</v>
      </c>
      <c r="D210" s="97" t="s">
        <v>179</v>
      </c>
      <c r="E210" s="8">
        <v>9600</v>
      </c>
    </row>
    <row r="211" spans="2:5" x14ac:dyDescent="0.25">
      <c r="B211" s="43">
        <v>207</v>
      </c>
      <c r="C211" s="6" t="s">
        <v>580</v>
      </c>
      <c r="D211" s="97" t="s">
        <v>180</v>
      </c>
      <c r="E211" s="8">
        <v>9600</v>
      </c>
    </row>
    <row r="212" spans="2:5" x14ac:dyDescent="0.25">
      <c r="B212" s="43">
        <v>208</v>
      </c>
      <c r="C212" s="6" t="s">
        <v>581</v>
      </c>
      <c r="D212" s="97" t="s">
        <v>181</v>
      </c>
      <c r="E212" s="8">
        <v>4800</v>
      </c>
    </row>
    <row r="213" spans="2:5" x14ac:dyDescent="0.25">
      <c r="B213" s="43">
        <v>209</v>
      </c>
      <c r="C213" s="6" t="s">
        <v>581</v>
      </c>
      <c r="D213" s="97" t="s">
        <v>182</v>
      </c>
      <c r="E213" s="8">
        <v>24000</v>
      </c>
    </row>
    <row r="214" spans="2:5" x14ac:dyDescent="0.25">
      <c r="B214" s="43">
        <v>210</v>
      </c>
      <c r="C214" s="6" t="s">
        <v>582</v>
      </c>
      <c r="D214" s="97" t="s">
        <v>183</v>
      </c>
      <c r="E214" s="8">
        <v>4800</v>
      </c>
    </row>
    <row r="215" spans="2:5" x14ac:dyDescent="0.25">
      <c r="B215" s="43">
        <v>211</v>
      </c>
      <c r="C215" s="6" t="s">
        <v>786</v>
      </c>
      <c r="D215" s="97" t="s">
        <v>184</v>
      </c>
      <c r="E215" s="8">
        <v>9600</v>
      </c>
    </row>
    <row r="216" spans="2:5" x14ac:dyDescent="0.25">
      <c r="B216" s="43">
        <v>212</v>
      </c>
      <c r="C216" s="6" t="s">
        <v>783</v>
      </c>
      <c r="D216" s="97" t="s">
        <v>185</v>
      </c>
      <c r="E216" s="8">
        <v>4800</v>
      </c>
    </row>
    <row r="217" spans="2:5" x14ac:dyDescent="0.25">
      <c r="B217" s="43">
        <v>213</v>
      </c>
      <c r="C217" s="6" t="s">
        <v>994</v>
      </c>
      <c r="D217" s="97" t="s">
        <v>186</v>
      </c>
      <c r="E217" s="8">
        <v>900</v>
      </c>
    </row>
    <row r="218" spans="2:5" x14ac:dyDescent="0.25">
      <c r="B218" s="43">
        <v>214</v>
      </c>
      <c r="C218" s="6" t="s">
        <v>833</v>
      </c>
      <c r="D218" s="97" t="s">
        <v>187</v>
      </c>
      <c r="E218" s="8">
        <v>1800</v>
      </c>
    </row>
    <row r="219" spans="2:5" x14ac:dyDescent="0.25">
      <c r="B219" s="43">
        <v>215</v>
      </c>
      <c r="C219" s="6" t="s">
        <v>586</v>
      </c>
      <c r="D219" s="97" t="s">
        <v>188</v>
      </c>
      <c r="E219" s="8">
        <v>11425</v>
      </c>
    </row>
    <row r="220" spans="2:5" x14ac:dyDescent="0.25">
      <c r="B220" s="43">
        <v>216</v>
      </c>
      <c r="C220" s="6" t="s">
        <v>588</v>
      </c>
      <c r="D220" s="97" t="s">
        <v>189</v>
      </c>
      <c r="E220" s="8">
        <v>1700</v>
      </c>
    </row>
    <row r="221" spans="2:5" x14ac:dyDescent="0.25">
      <c r="B221" s="43">
        <v>217</v>
      </c>
      <c r="C221" s="6" t="s">
        <v>589</v>
      </c>
      <c r="D221" s="106" t="s">
        <v>190</v>
      </c>
      <c r="E221" s="107" t="s">
        <v>191</v>
      </c>
    </row>
    <row r="222" spans="2:5" x14ac:dyDescent="0.25">
      <c r="B222" s="43">
        <v>218</v>
      </c>
      <c r="C222" s="6" t="s">
        <v>590</v>
      </c>
      <c r="D222" s="97" t="s">
        <v>192</v>
      </c>
      <c r="E222" s="8">
        <v>19500</v>
      </c>
    </row>
    <row r="223" spans="2:5" x14ac:dyDescent="0.25">
      <c r="B223" s="43">
        <v>219</v>
      </c>
      <c r="C223" s="6" t="s">
        <v>421</v>
      </c>
      <c r="D223" s="97" t="s">
        <v>193</v>
      </c>
      <c r="E223" s="72">
        <v>23800</v>
      </c>
    </row>
    <row r="224" spans="2:5" x14ac:dyDescent="0.25">
      <c r="B224" s="43">
        <v>220</v>
      </c>
      <c r="C224" s="6" t="s">
        <v>685</v>
      </c>
      <c r="D224" s="97" t="s">
        <v>194</v>
      </c>
      <c r="E224" s="8">
        <v>49500</v>
      </c>
    </row>
    <row r="225" spans="2:5" x14ac:dyDescent="0.25">
      <c r="B225" s="43">
        <v>221</v>
      </c>
      <c r="C225" s="93"/>
      <c r="D225" s="97" t="s">
        <v>196</v>
      </c>
      <c r="E225" s="8">
        <v>625000</v>
      </c>
    </row>
    <row r="226" spans="2:5" x14ac:dyDescent="0.25">
      <c r="B226" s="43">
        <v>222</v>
      </c>
      <c r="C226" s="93" t="s">
        <v>683</v>
      </c>
      <c r="D226" s="97" t="s">
        <v>195</v>
      </c>
      <c r="E226" s="8">
        <v>450000</v>
      </c>
    </row>
    <row r="227" spans="2:5" x14ac:dyDescent="0.25">
      <c r="B227" s="43">
        <v>223</v>
      </c>
      <c r="C227" s="93" t="s">
        <v>684</v>
      </c>
      <c r="D227" s="97" t="s">
        <v>197</v>
      </c>
      <c r="E227" s="8">
        <v>900000</v>
      </c>
    </row>
    <row r="228" spans="2:5" x14ac:dyDescent="0.25">
      <c r="B228" s="43">
        <v>224</v>
      </c>
      <c r="C228" s="6" t="s">
        <v>591</v>
      </c>
      <c r="D228" s="97" t="s">
        <v>198</v>
      </c>
      <c r="E228" s="8">
        <v>4300</v>
      </c>
    </row>
    <row r="229" spans="2:5" x14ac:dyDescent="0.25">
      <c r="B229" s="43">
        <v>225</v>
      </c>
      <c r="C229" s="6" t="s">
        <v>990</v>
      </c>
      <c r="D229" s="97" t="s">
        <v>199</v>
      </c>
      <c r="E229" s="8">
        <v>1134</v>
      </c>
    </row>
    <row r="230" spans="2:5" x14ac:dyDescent="0.25">
      <c r="B230" s="43">
        <v>226</v>
      </c>
      <c r="C230" s="6" t="s">
        <v>593</v>
      </c>
      <c r="D230" s="97" t="s">
        <v>200</v>
      </c>
      <c r="E230" s="8">
        <v>3528</v>
      </c>
    </row>
    <row r="231" spans="2:5" x14ac:dyDescent="0.25">
      <c r="B231" s="43">
        <v>227</v>
      </c>
      <c r="C231" s="6" t="s">
        <v>594</v>
      </c>
      <c r="D231" s="97" t="s">
        <v>201</v>
      </c>
      <c r="E231" s="8">
        <v>7056</v>
      </c>
    </row>
    <row r="232" spans="2:5" x14ac:dyDescent="0.25">
      <c r="B232" s="43">
        <v>228</v>
      </c>
      <c r="C232" s="6" t="s">
        <v>595</v>
      </c>
      <c r="D232" s="97" t="s">
        <v>202</v>
      </c>
      <c r="E232" s="8">
        <v>2400</v>
      </c>
    </row>
    <row r="233" spans="2:5" x14ac:dyDescent="0.25">
      <c r="B233" s="43">
        <v>229</v>
      </c>
      <c r="C233" s="6" t="s">
        <v>596</v>
      </c>
      <c r="D233" s="97" t="s">
        <v>203</v>
      </c>
      <c r="E233" s="8">
        <v>2200</v>
      </c>
    </row>
    <row r="234" spans="2:5" x14ac:dyDescent="0.25">
      <c r="B234" s="43">
        <v>230</v>
      </c>
      <c r="C234" s="6" t="s">
        <v>963</v>
      </c>
      <c r="D234" s="97" t="s">
        <v>204</v>
      </c>
      <c r="E234" s="8">
        <v>25000</v>
      </c>
    </row>
    <row r="235" spans="2:5" x14ac:dyDescent="0.25">
      <c r="B235" s="43">
        <v>231</v>
      </c>
      <c r="C235" s="6" t="s">
        <v>597</v>
      </c>
      <c r="D235" s="97" t="s">
        <v>205</v>
      </c>
      <c r="E235" s="8">
        <v>4800</v>
      </c>
    </row>
    <row r="236" spans="2:5" x14ac:dyDescent="0.25">
      <c r="B236" s="43">
        <v>232</v>
      </c>
      <c r="C236" s="6" t="s">
        <v>600</v>
      </c>
      <c r="D236" s="97" t="s">
        <v>206</v>
      </c>
      <c r="E236" s="8">
        <v>5000</v>
      </c>
    </row>
    <row r="237" spans="2:5" x14ac:dyDescent="0.25">
      <c r="B237" s="43">
        <v>233</v>
      </c>
      <c r="C237" s="6" t="s">
        <v>599</v>
      </c>
      <c r="D237" s="97" t="s">
        <v>207</v>
      </c>
      <c r="E237" s="8">
        <v>5000</v>
      </c>
    </row>
    <row r="238" spans="2:5" x14ac:dyDescent="0.25">
      <c r="B238" s="43">
        <v>234</v>
      </c>
      <c r="C238" s="6" t="s">
        <v>601</v>
      </c>
      <c r="D238" s="97" t="s">
        <v>208</v>
      </c>
      <c r="E238" s="8">
        <v>8000</v>
      </c>
    </row>
    <row r="239" spans="2:5" x14ac:dyDescent="0.25">
      <c r="B239" s="43">
        <v>235</v>
      </c>
      <c r="C239" s="6" t="s">
        <v>602</v>
      </c>
      <c r="D239" s="97" t="s">
        <v>209</v>
      </c>
      <c r="E239" s="8">
        <v>3475</v>
      </c>
    </row>
    <row r="240" spans="2:5" x14ac:dyDescent="0.25">
      <c r="B240" s="43">
        <v>236</v>
      </c>
      <c r="C240" s="6" t="s">
        <v>838</v>
      </c>
      <c r="D240" s="97" t="s">
        <v>210</v>
      </c>
      <c r="E240" s="8">
        <v>3800</v>
      </c>
    </row>
    <row r="241" spans="2:5" x14ac:dyDescent="0.25">
      <c r="B241" s="43">
        <v>237</v>
      </c>
      <c r="C241" s="6" t="s">
        <v>604</v>
      </c>
      <c r="D241" s="97" t="s">
        <v>211</v>
      </c>
      <c r="E241" s="8">
        <v>3675</v>
      </c>
    </row>
    <row r="242" spans="2:5" x14ac:dyDescent="0.25">
      <c r="B242" s="43">
        <v>238</v>
      </c>
      <c r="C242" s="6" t="s">
        <v>605</v>
      </c>
      <c r="D242" s="97" t="s">
        <v>212</v>
      </c>
      <c r="E242" s="8">
        <v>3800</v>
      </c>
    </row>
    <row r="243" spans="2:5" x14ac:dyDescent="0.25">
      <c r="B243" s="43">
        <v>239</v>
      </c>
      <c r="C243" s="6" t="s">
        <v>606</v>
      </c>
      <c r="D243" s="97" t="s">
        <v>213</v>
      </c>
      <c r="E243" s="8">
        <v>3800</v>
      </c>
    </row>
    <row r="244" spans="2:5" x14ac:dyDescent="0.25">
      <c r="B244" s="43">
        <v>240</v>
      </c>
      <c r="C244" s="6" t="s">
        <v>817</v>
      </c>
      <c r="D244" s="97" t="s">
        <v>214</v>
      </c>
      <c r="E244" s="8">
        <v>339</v>
      </c>
    </row>
    <row r="245" spans="2:5" x14ac:dyDescent="0.25">
      <c r="B245" s="43">
        <v>241</v>
      </c>
      <c r="C245" s="6" t="s">
        <v>608</v>
      </c>
      <c r="D245" s="97" t="s">
        <v>215</v>
      </c>
      <c r="E245" s="8">
        <v>9000</v>
      </c>
    </row>
    <row r="246" spans="2:5" x14ac:dyDescent="0.25">
      <c r="B246" s="43">
        <v>242</v>
      </c>
      <c r="C246" s="6" t="s">
        <v>609</v>
      </c>
      <c r="D246" s="97" t="s">
        <v>216</v>
      </c>
      <c r="E246" s="8">
        <v>1418</v>
      </c>
    </row>
    <row r="247" spans="2:5" x14ac:dyDescent="0.25">
      <c r="B247" s="43">
        <v>243</v>
      </c>
      <c r="C247" s="6" t="s">
        <v>605</v>
      </c>
      <c r="D247" s="97" t="s">
        <v>217</v>
      </c>
      <c r="E247" s="8">
        <v>1900</v>
      </c>
    </row>
    <row r="248" spans="2:5" x14ac:dyDescent="0.25">
      <c r="B248" s="43">
        <v>244</v>
      </c>
      <c r="C248" s="6" t="s">
        <v>610</v>
      </c>
      <c r="D248" s="97" t="s">
        <v>218</v>
      </c>
      <c r="E248" s="8">
        <v>5400</v>
      </c>
    </row>
    <row r="249" spans="2:5" x14ac:dyDescent="0.25">
      <c r="B249" s="43">
        <v>245</v>
      </c>
      <c r="C249" s="6" t="s">
        <v>611</v>
      </c>
      <c r="D249" s="97" t="s">
        <v>219</v>
      </c>
      <c r="E249" s="8">
        <v>4300</v>
      </c>
    </row>
    <row r="250" spans="2:5" x14ac:dyDescent="0.25">
      <c r="B250" s="43">
        <v>246</v>
      </c>
      <c r="C250" s="6" t="s">
        <v>612</v>
      </c>
      <c r="D250" s="97" t="s">
        <v>220</v>
      </c>
      <c r="E250" s="8">
        <v>5475</v>
      </c>
    </row>
    <row r="251" spans="2:5" x14ac:dyDescent="0.25">
      <c r="B251" s="43">
        <v>247</v>
      </c>
      <c r="C251" s="6" t="s">
        <v>612</v>
      </c>
      <c r="D251" s="97" t="s">
        <v>221</v>
      </c>
      <c r="E251" s="8">
        <v>6000</v>
      </c>
    </row>
    <row r="252" spans="2:5" x14ac:dyDescent="0.25">
      <c r="B252" s="43">
        <v>248</v>
      </c>
      <c r="C252" s="93"/>
      <c r="D252" s="97" t="s">
        <v>222</v>
      </c>
      <c r="E252" s="8">
        <v>3818</v>
      </c>
    </row>
    <row r="253" spans="2:5" x14ac:dyDescent="0.25">
      <c r="B253" s="43">
        <v>249</v>
      </c>
      <c r="C253" s="93"/>
      <c r="D253" s="97" t="s">
        <v>223</v>
      </c>
      <c r="E253" s="8">
        <v>1300</v>
      </c>
    </row>
    <row r="254" spans="2:5" x14ac:dyDescent="0.25">
      <c r="B254" s="43">
        <v>250</v>
      </c>
      <c r="C254" s="6" t="s">
        <v>613</v>
      </c>
      <c r="D254" s="97" t="s">
        <v>224</v>
      </c>
      <c r="E254" s="8">
        <v>16200</v>
      </c>
    </row>
    <row r="255" spans="2:5" x14ac:dyDescent="0.25">
      <c r="B255" s="43">
        <v>251</v>
      </c>
      <c r="C255" s="6" t="s">
        <v>614</v>
      </c>
      <c r="D255" s="97" t="s">
        <v>225</v>
      </c>
      <c r="E255" s="8">
        <v>21600</v>
      </c>
    </row>
    <row r="256" spans="2:5" x14ac:dyDescent="0.25">
      <c r="B256" s="43">
        <v>252</v>
      </c>
      <c r="C256" s="6" t="s">
        <v>615</v>
      </c>
      <c r="D256" s="97" t="s">
        <v>226</v>
      </c>
      <c r="E256" s="8">
        <v>19250</v>
      </c>
    </row>
    <row r="257" spans="2:5" x14ac:dyDescent="0.25">
      <c r="B257" s="43">
        <v>253</v>
      </c>
      <c r="C257" s="6" t="s">
        <v>616</v>
      </c>
      <c r="D257" s="97" t="s">
        <v>227</v>
      </c>
      <c r="E257" s="8">
        <v>10800</v>
      </c>
    </row>
    <row r="258" spans="2:5" x14ac:dyDescent="0.25">
      <c r="B258" s="43">
        <v>254</v>
      </c>
      <c r="C258" s="6" t="s">
        <v>617</v>
      </c>
      <c r="D258" s="97" t="s">
        <v>228</v>
      </c>
      <c r="E258" s="8">
        <v>17300</v>
      </c>
    </row>
    <row r="259" spans="2:5" x14ac:dyDescent="0.25">
      <c r="B259" s="43">
        <v>255</v>
      </c>
      <c r="C259" s="6" t="s">
        <v>614</v>
      </c>
      <c r="D259" s="97" t="s">
        <v>229</v>
      </c>
      <c r="E259" s="8">
        <v>12960</v>
      </c>
    </row>
    <row r="260" spans="2:5" x14ac:dyDescent="0.25">
      <c r="B260" s="43">
        <v>256</v>
      </c>
      <c r="C260" s="6" t="s">
        <v>614</v>
      </c>
      <c r="D260" s="97" t="s">
        <v>230</v>
      </c>
      <c r="E260" s="8">
        <v>9000</v>
      </c>
    </row>
    <row r="261" spans="2:5" x14ac:dyDescent="0.25">
      <c r="B261" s="43">
        <v>257</v>
      </c>
      <c r="C261" s="6" t="s">
        <v>614</v>
      </c>
      <c r="D261" s="97" t="s">
        <v>231</v>
      </c>
      <c r="E261" s="8">
        <v>5400</v>
      </c>
    </row>
    <row r="262" spans="2:5" x14ac:dyDescent="0.25">
      <c r="B262" s="43">
        <v>258</v>
      </c>
      <c r="C262" s="6" t="s">
        <v>614</v>
      </c>
      <c r="D262" s="97" t="s">
        <v>232</v>
      </c>
      <c r="E262" s="8">
        <v>6300</v>
      </c>
    </row>
    <row r="263" spans="2:5" x14ac:dyDescent="0.25">
      <c r="B263" s="43">
        <v>259</v>
      </c>
      <c r="C263" s="6" t="s">
        <v>614</v>
      </c>
      <c r="D263" s="97" t="s">
        <v>233</v>
      </c>
      <c r="E263" s="8">
        <v>8100</v>
      </c>
    </row>
    <row r="264" spans="2:5" x14ac:dyDescent="0.25">
      <c r="B264" s="43">
        <v>260</v>
      </c>
      <c r="C264" s="6" t="s">
        <v>614</v>
      </c>
      <c r="D264" s="97" t="s">
        <v>234</v>
      </c>
      <c r="E264" s="8">
        <v>10800</v>
      </c>
    </row>
    <row r="265" spans="2:5" x14ac:dyDescent="0.25">
      <c r="B265" s="43">
        <v>261</v>
      </c>
      <c r="C265" s="6" t="s">
        <v>614</v>
      </c>
      <c r="D265" s="97" t="s">
        <v>235</v>
      </c>
      <c r="E265" s="8">
        <v>13500</v>
      </c>
    </row>
    <row r="266" spans="2:5" x14ac:dyDescent="0.25">
      <c r="B266" s="43">
        <v>262</v>
      </c>
      <c r="C266" s="6" t="s">
        <v>614</v>
      </c>
      <c r="D266" s="97" t="s">
        <v>236</v>
      </c>
      <c r="E266" s="8">
        <v>8100</v>
      </c>
    </row>
    <row r="267" spans="2:5" x14ac:dyDescent="0.25">
      <c r="B267" s="43">
        <v>263</v>
      </c>
      <c r="C267" s="6" t="s">
        <v>614</v>
      </c>
      <c r="D267" s="97" t="s">
        <v>237</v>
      </c>
      <c r="E267" s="8">
        <v>6000</v>
      </c>
    </row>
    <row r="268" spans="2:5" x14ac:dyDescent="0.25">
      <c r="B268" s="43">
        <v>264</v>
      </c>
      <c r="C268" s="6" t="s">
        <v>614</v>
      </c>
      <c r="D268" s="97" t="s">
        <v>238</v>
      </c>
      <c r="E268" s="8">
        <v>30800</v>
      </c>
    </row>
    <row r="269" spans="2:5" x14ac:dyDescent="0.25">
      <c r="B269" s="43">
        <v>265</v>
      </c>
      <c r="C269" s="6" t="s">
        <v>614</v>
      </c>
      <c r="D269" s="97" t="s">
        <v>239</v>
      </c>
      <c r="E269" s="8">
        <v>13500</v>
      </c>
    </row>
    <row r="270" spans="2:5" x14ac:dyDescent="0.25">
      <c r="B270" s="43">
        <v>266</v>
      </c>
      <c r="C270" s="6" t="s">
        <v>614</v>
      </c>
      <c r="D270" s="97" t="s">
        <v>240</v>
      </c>
      <c r="E270" s="8">
        <v>5100</v>
      </c>
    </row>
    <row r="271" spans="2:5" x14ac:dyDescent="0.25">
      <c r="B271" s="43">
        <v>267</v>
      </c>
      <c r="C271" s="6" t="s">
        <v>614</v>
      </c>
      <c r="D271" s="97" t="s">
        <v>241</v>
      </c>
      <c r="E271" s="8">
        <v>15300</v>
      </c>
    </row>
    <row r="272" spans="2:5" x14ac:dyDescent="0.25">
      <c r="B272" s="43">
        <v>268</v>
      </c>
      <c r="C272" s="6" t="s">
        <v>614</v>
      </c>
      <c r="D272" s="97" t="s">
        <v>242</v>
      </c>
      <c r="E272" s="8">
        <v>11900</v>
      </c>
    </row>
    <row r="273" spans="2:5" x14ac:dyDescent="0.25">
      <c r="B273" s="43">
        <v>269</v>
      </c>
      <c r="C273" s="6" t="s">
        <v>621</v>
      </c>
      <c r="D273" s="97" t="s">
        <v>243</v>
      </c>
      <c r="E273" s="8">
        <v>1900</v>
      </c>
    </row>
    <row r="274" spans="2:5" x14ac:dyDescent="0.25">
      <c r="B274" s="43">
        <v>270</v>
      </c>
      <c r="C274" s="6" t="s">
        <v>622</v>
      </c>
      <c r="D274" s="97" t="s">
        <v>244</v>
      </c>
      <c r="E274" s="8">
        <v>4440</v>
      </c>
    </row>
    <row r="275" spans="2:5" x14ac:dyDescent="0.25">
      <c r="B275" s="43">
        <v>271</v>
      </c>
      <c r="C275" s="6" t="s">
        <v>689</v>
      </c>
      <c r="D275" s="97" t="s">
        <v>245</v>
      </c>
      <c r="E275" s="8">
        <v>4600</v>
      </c>
    </row>
    <row r="276" spans="2:5" x14ac:dyDescent="0.25">
      <c r="B276" s="43">
        <v>272</v>
      </c>
      <c r="C276" s="6" t="s">
        <v>835</v>
      </c>
      <c r="D276" s="97" t="s">
        <v>836</v>
      </c>
      <c r="E276" s="8">
        <v>4600</v>
      </c>
    </row>
    <row r="277" spans="2:5" x14ac:dyDescent="0.25">
      <c r="B277" s="43">
        <v>273</v>
      </c>
      <c r="C277" s="6" t="s">
        <v>623</v>
      </c>
      <c r="D277" s="97" t="s">
        <v>247</v>
      </c>
      <c r="E277" s="8">
        <v>6000</v>
      </c>
    </row>
    <row r="278" spans="2:5" x14ac:dyDescent="0.25">
      <c r="B278" s="43">
        <v>274</v>
      </c>
      <c r="C278" s="6" t="s">
        <v>624</v>
      </c>
      <c r="D278" s="97" t="s">
        <v>248</v>
      </c>
      <c r="E278" s="8">
        <v>1300</v>
      </c>
    </row>
    <row r="279" spans="2:5" x14ac:dyDescent="0.25">
      <c r="B279" s="43">
        <v>275</v>
      </c>
      <c r="C279" s="93"/>
      <c r="D279" s="97" t="s">
        <v>249</v>
      </c>
      <c r="E279" s="8">
        <v>2600</v>
      </c>
    </row>
    <row r="280" spans="2:5" x14ac:dyDescent="0.25">
      <c r="B280" s="43">
        <v>276</v>
      </c>
      <c r="C280" s="6" t="s">
        <v>625</v>
      </c>
      <c r="D280" s="97" t="s">
        <v>250</v>
      </c>
      <c r="E280" s="8">
        <v>20500</v>
      </c>
    </row>
    <row r="281" spans="2:5" x14ac:dyDescent="0.25">
      <c r="B281" s="43">
        <v>277</v>
      </c>
      <c r="C281" s="6" t="s">
        <v>626</v>
      </c>
      <c r="D281" s="97" t="s">
        <v>251</v>
      </c>
      <c r="E281" s="8">
        <v>4100</v>
      </c>
    </row>
    <row r="282" spans="2:5" x14ac:dyDescent="0.25">
      <c r="B282" s="43">
        <v>278</v>
      </c>
      <c r="C282" s="6" t="s">
        <v>627</v>
      </c>
      <c r="D282" s="97" t="s">
        <v>252</v>
      </c>
      <c r="E282" s="8">
        <v>1025</v>
      </c>
    </row>
    <row r="283" spans="2:5" x14ac:dyDescent="0.25">
      <c r="B283" s="43">
        <v>279</v>
      </c>
      <c r="C283" s="6" t="s">
        <v>628</v>
      </c>
      <c r="D283" s="97" t="s">
        <v>253</v>
      </c>
      <c r="E283" s="8">
        <v>15750</v>
      </c>
    </row>
    <row r="284" spans="2:5" x14ac:dyDescent="0.25">
      <c r="B284" s="43">
        <v>280</v>
      </c>
      <c r="C284" s="6" t="s">
        <v>629</v>
      </c>
      <c r="D284" s="97" t="s">
        <v>254</v>
      </c>
      <c r="E284" s="8">
        <v>31500</v>
      </c>
    </row>
    <row r="285" spans="2:5" x14ac:dyDescent="0.25">
      <c r="B285" s="43">
        <v>281</v>
      </c>
      <c r="C285" s="6" t="s">
        <v>630</v>
      </c>
      <c r="D285" s="97" t="s">
        <v>255</v>
      </c>
      <c r="E285" s="8">
        <v>47250</v>
      </c>
    </row>
    <row r="286" spans="2:5" x14ac:dyDescent="0.25">
      <c r="B286" s="43">
        <v>282</v>
      </c>
      <c r="C286" s="6" t="s">
        <v>631</v>
      </c>
      <c r="D286" s="97" t="s">
        <v>256</v>
      </c>
      <c r="E286" s="8">
        <v>63000</v>
      </c>
    </row>
    <row r="287" spans="2:5" x14ac:dyDescent="0.25">
      <c r="B287" s="43">
        <v>283</v>
      </c>
      <c r="C287" s="6" t="s">
        <v>632</v>
      </c>
      <c r="D287" s="97" t="s">
        <v>257</v>
      </c>
      <c r="E287" s="8">
        <v>650000</v>
      </c>
    </row>
    <row r="288" spans="2:5" x14ac:dyDescent="0.25">
      <c r="B288" s="43">
        <v>284</v>
      </c>
      <c r="C288" s="6" t="s">
        <v>633</v>
      </c>
      <c r="D288" s="97" t="s">
        <v>258</v>
      </c>
      <c r="E288" s="8">
        <v>390000</v>
      </c>
    </row>
    <row r="289" spans="2:5" x14ac:dyDescent="0.25">
      <c r="B289" s="43">
        <v>285</v>
      </c>
      <c r="C289" s="6" t="s">
        <v>634</v>
      </c>
      <c r="D289" s="97" t="s">
        <v>259</v>
      </c>
      <c r="E289" s="8">
        <v>7900</v>
      </c>
    </row>
    <row r="290" spans="2:5" x14ac:dyDescent="0.25">
      <c r="B290" s="43">
        <v>286</v>
      </c>
      <c r="C290" s="93" t="s">
        <v>682</v>
      </c>
      <c r="D290" s="97" t="s">
        <v>410</v>
      </c>
      <c r="E290" s="8">
        <v>4000</v>
      </c>
    </row>
    <row r="291" spans="2:5" x14ac:dyDescent="0.25">
      <c r="B291" s="43">
        <v>287</v>
      </c>
      <c r="C291" s="6" t="s">
        <v>635</v>
      </c>
      <c r="D291" s="97" t="s">
        <v>260</v>
      </c>
      <c r="E291" s="8">
        <v>1100</v>
      </c>
    </row>
    <row r="292" spans="2:5" x14ac:dyDescent="0.25">
      <c r="B292" s="43">
        <v>288</v>
      </c>
      <c r="C292" s="93" t="s">
        <v>686</v>
      </c>
      <c r="D292" s="97" t="s">
        <v>703</v>
      </c>
      <c r="E292" s="8">
        <v>2000</v>
      </c>
    </row>
    <row r="293" spans="2:5" x14ac:dyDescent="0.25">
      <c r="B293" s="43">
        <v>289</v>
      </c>
      <c r="C293" s="93" t="s">
        <v>682</v>
      </c>
      <c r="D293" s="97" t="s">
        <v>702</v>
      </c>
      <c r="E293" s="8">
        <v>4000</v>
      </c>
    </row>
    <row r="294" spans="2:5" x14ac:dyDescent="0.25">
      <c r="B294" s="43">
        <v>290</v>
      </c>
      <c r="C294" s="93" t="s">
        <v>691</v>
      </c>
      <c r="D294" s="97" t="s">
        <v>1004</v>
      </c>
      <c r="E294" s="8">
        <v>8000</v>
      </c>
    </row>
    <row r="295" spans="2:5" x14ac:dyDescent="0.25">
      <c r="B295" s="43">
        <v>291</v>
      </c>
      <c r="C295" s="6" t="s">
        <v>636</v>
      </c>
      <c r="D295" s="97" t="s">
        <v>262</v>
      </c>
      <c r="E295" s="8">
        <v>3150</v>
      </c>
    </row>
    <row r="296" spans="2:5" x14ac:dyDescent="0.25">
      <c r="B296" s="43">
        <v>292</v>
      </c>
      <c r="C296" s="6" t="s">
        <v>637</v>
      </c>
      <c r="D296" s="97" t="s">
        <v>263</v>
      </c>
      <c r="E296" s="8">
        <v>3900</v>
      </c>
    </row>
    <row r="297" spans="2:5" x14ac:dyDescent="0.25">
      <c r="B297" s="43">
        <v>293</v>
      </c>
      <c r="C297" s="93" t="s">
        <v>692</v>
      </c>
      <c r="D297" s="97" t="s">
        <v>264</v>
      </c>
      <c r="E297" s="8">
        <v>3150</v>
      </c>
    </row>
    <row r="298" spans="2:5" x14ac:dyDescent="0.25">
      <c r="B298" s="43">
        <v>294</v>
      </c>
      <c r="C298" s="6" t="s">
        <v>638</v>
      </c>
      <c r="D298" s="97" t="s">
        <v>265</v>
      </c>
      <c r="E298" s="8">
        <v>4050</v>
      </c>
    </row>
    <row r="299" spans="2:5" x14ac:dyDescent="0.25">
      <c r="B299" s="43">
        <v>295</v>
      </c>
      <c r="C299" s="6" t="s">
        <v>623</v>
      </c>
      <c r="D299" s="97" t="s">
        <v>266</v>
      </c>
      <c r="E299" s="8">
        <v>6000</v>
      </c>
    </row>
    <row r="300" spans="2:5" x14ac:dyDescent="0.25">
      <c r="B300" s="43">
        <v>296</v>
      </c>
      <c r="C300" s="108" t="s">
        <v>487</v>
      </c>
      <c r="D300" s="97" t="s">
        <v>267</v>
      </c>
      <c r="E300" s="8">
        <v>12600</v>
      </c>
    </row>
    <row r="301" spans="2:5" x14ac:dyDescent="0.25">
      <c r="B301" s="43">
        <v>297</v>
      </c>
      <c r="C301" s="108" t="s">
        <v>486</v>
      </c>
      <c r="D301" s="97" t="s">
        <v>268</v>
      </c>
      <c r="E301" s="8">
        <v>25200</v>
      </c>
    </row>
    <row r="302" spans="2:5" x14ac:dyDescent="0.25">
      <c r="B302" s="43">
        <v>298</v>
      </c>
      <c r="C302" s="108" t="s">
        <v>489</v>
      </c>
      <c r="D302" s="97" t="s">
        <v>269</v>
      </c>
      <c r="E302" s="8">
        <v>37800</v>
      </c>
    </row>
    <row r="303" spans="2:5" x14ac:dyDescent="0.25">
      <c r="B303" s="43">
        <v>299</v>
      </c>
      <c r="C303" s="108" t="s">
        <v>488</v>
      </c>
      <c r="D303" s="97" t="s">
        <v>270</v>
      </c>
      <c r="E303" s="8">
        <v>50400</v>
      </c>
    </row>
    <row r="304" spans="2:5" x14ac:dyDescent="0.25">
      <c r="B304" s="43">
        <v>300</v>
      </c>
      <c r="C304" s="6" t="s">
        <v>639</v>
      </c>
      <c r="D304" s="97" t="s">
        <v>271</v>
      </c>
      <c r="E304" s="8">
        <v>520000</v>
      </c>
    </row>
    <row r="305" spans="2:5" x14ac:dyDescent="0.25">
      <c r="B305" s="43">
        <v>301</v>
      </c>
      <c r="C305" s="6" t="s">
        <v>640</v>
      </c>
      <c r="D305" s="97" t="s">
        <v>272</v>
      </c>
      <c r="E305" s="8">
        <v>450</v>
      </c>
    </row>
    <row r="306" spans="2:5" x14ac:dyDescent="0.25">
      <c r="B306" s="43">
        <v>302</v>
      </c>
      <c r="C306" s="6" t="s">
        <v>641</v>
      </c>
      <c r="D306" s="97" t="s">
        <v>273</v>
      </c>
      <c r="E306" s="8">
        <v>600</v>
      </c>
    </row>
    <row r="307" spans="2:5" x14ac:dyDescent="0.25">
      <c r="B307" s="43">
        <v>303</v>
      </c>
      <c r="C307" s="6" t="s">
        <v>642</v>
      </c>
      <c r="D307" s="97" t="s">
        <v>274</v>
      </c>
      <c r="E307" s="8">
        <v>2520</v>
      </c>
    </row>
    <row r="308" spans="2:5" x14ac:dyDescent="0.25">
      <c r="B308" s="43">
        <v>304</v>
      </c>
      <c r="C308" s="6" t="s">
        <v>643</v>
      </c>
      <c r="D308" s="97" t="s">
        <v>275</v>
      </c>
      <c r="E308" s="8">
        <v>5040</v>
      </c>
    </row>
    <row r="309" spans="2:5" x14ac:dyDescent="0.25">
      <c r="B309" s="43">
        <v>305</v>
      </c>
      <c r="C309" s="6" t="s">
        <v>837</v>
      </c>
      <c r="D309" s="97" t="s">
        <v>276</v>
      </c>
      <c r="E309" s="8">
        <v>1650</v>
      </c>
    </row>
    <row r="310" spans="2:5" x14ac:dyDescent="0.25">
      <c r="B310" s="43">
        <v>306</v>
      </c>
      <c r="C310" s="6" t="s">
        <v>834</v>
      </c>
      <c r="D310" s="97" t="s">
        <v>277</v>
      </c>
      <c r="E310" s="8">
        <v>5300</v>
      </c>
    </row>
    <row r="311" spans="2:5" x14ac:dyDescent="0.25">
      <c r="B311" s="43">
        <v>307</v>
      </c>
      <c r="C311" s="6" t="s">
        <v>646</v>
      </c>
      <c r="D311" s="97" t="s">
        <v>278</v>
      </c>
      <c r="E311" s="8">
        <v>900</v>
      </c>
    </row>
    <row r="312" spans="2:5" x14ac:dyDescent="0.25">
      <c r="B312" s="43">
        <v>308</v>
      </c>
      <c r="C312" s="6" t="s">
        <v>620</v>
      </c>
      <c r="D312" s="97" t="s">
        <v>279</v>
      </c>
      <c r="E312" s="8">
        <v>5400</v>
      </c>
    </row>
    <row r="313" spans="2:5" x14ac:dyDescent="0.25">
      <c r="B313" s="43">
        <v>309</v>
      </c>
      <c r="C313" s="43" t="s">
        <v>620</v>
      </c>
      <c r="D313" s="97" t="s">
        <v>280</v>
      </c>
      <c r="E313" s="8">
        <v>5400</v>
      </c>
    </row>
    <row r="314" spans="2:5" x14ac:dyDescent="0.25">
      <c r="B314" s="43">
        <v>310</v>
      </c>
      <c r="C314" s="6" t="s">
        <v>647</v>
      </c>
      <c r="D314" s="97" t="s">
        <v>281</v>
      </c>
      <c r="E314" s="8">
        <v>5400</v>
      </c>
    </row>
    <row r="315" spans="2:5" x14ac:dyDescent="0.25">
      <c r="B315" s="43">
        <v>311</v>
      </c>
      <c r="C315" s="6" t="s">
        <v>776</v>
      </c>
      <c r="D315" s="97" t="s">
        <v>282</v>
      </c>
      <c r="E315" s="8">
        <v>2500</v>
      </c>
    </row>
    <row r="316" spans="2:5" x14ac:dyDescent="0.25">
      <c r="B316" s="43">
        <v>312</v>
      </c>
      <c r="C316" s="6" t="s">
        <v>705</v>
      </c>
      <c r="D316" s="97" t="s">
        <v>283</v>
      </c>
      <c r="E316" s="8">
        <v>465000</v>
      </c>
    </row>
    <row r="317" spans="2:5" x14ac:dyDescent="0.25">
      <c r="B317" s="43">
        <v>313</v>
      </c>
      <c r="C317" s="6" t="s">
        <v>649</v>
      </c>
      <c r="D317" s="97" t="s">
        <v>284</v>
      </c>
      <c r="E317" s="8">
        <v>1250</v>
      </c>
    </row>
    <row r="318" spans="2:5" x14ac:dyDescent="0.25">
      <c r="B318" s="43">
        <v>314</v>
      </c>
      <c r="C318" s="6" t="s">
        <v>653</v>
      </c>
      <c r="D318" s="97" t="s">
        <v>285</v>
      </c>
      <c r="E318" s="8">
        <v>625</v>
      </c>
    </row>
    <row r="319" spans="2:5" x14ac:dyDescent="0.25">
      <c r="B319" s="43">
        <v>315</v>
      </c>
      <c r="C319" s="6" t="s">
        <v>1003</v>
      </c>
      <c r="D319" s="97" t="s">
        <v>286</v>
      </c>
      <c r="E319" s="8">
        <v>180000</v>
      </c>
    </row>
    <row r="320" spans="2:5" x14ac:dyDescent="0.25">
      <c r="B320" s="43">
        <v>316</v>
      </c>
      <c r="C320" s="6" t="s">
        <v>651</v>
      </c>
      <c r="D320" s="97" t="s">
        <v>287</v>
      </c>
      <c r="E320" s="8">
        <v>5000</v>
      </c>
    </row>
    <row r="321" spans="2:5" x14ac:dyDescent="0.25">
      <c r="B321" s="43">
        <v>317</v>
      </c>
      <c r="C321" s="6" t="s">
        <v>650</v>
      </c>
      <c r="D321" s="97" t="s">
        <v>285</v>
      </c>
      <c r="E321" s="8">
        <v>1300</v>
      </c>
    </row>
    <row r="322" spans="2:5" x14ac:dyDescent="0.25">
      <c r="B322" s="43">
        <v>318</v>
      </c>
      <c r="C322" s="108" t="s">
        <v>964</v>
      </c>
      <c r="D322" s="97" t="s">
        <v>288</v>
      </c>
      <c r="E322" s="8">
        <v>35800</v>
      </c>
    </row>
    <row r="323" spans="2:5" x14ac:dyDescent="0.25">
      <c r="B323" s="43">
        <v>319</v>
      </c>
      <c r="C323" s="93"/>
      <c r="D323" s="97" t="s">
        <v>289</v>
      </c>
      <c r="E323" s="8">
        <v>295000</v>
      </c>
    </row>
    <row r="324" spans="2:5" x14ac:dyDescent="0.25">
      <c r="B324" s="43">
        <v>320</v>
      </c>
      <c r="C324" s="93"/>
      <c r="D324" s="97" t="s">
        <v>290</v>
      </c>
      <c r="E324" s="8">
        <v>4575</v>
      </c>
    </row>
    <row r="325" spans="2:5" x14ac:dyDescent="0.25">
      <c r="B325" s="43">
        <v>321</v>
      </c>
      <c r="C325" s="93"/>
      <c r="D325" s="97" t="s">
        <v>291</v>
      </c>
      <c r="E325" s="8">
        <v>5400</v>
      </c>
    </row>
    <row r="326" spans="2:5" x14ac:dyDescent="0.25">
      <c r="B326" s="43">
        <v>322</v>
      </c>
      <c r="C326" s="43" t="s">
        <v>620</v>
      </c>
      <c r="D326" s="97" t="s">
        <v>292</v>
      </c>
      <c r="E326" s="8">
        <v>5400</v>
      </c>
    </row>
    <row r="327" spans="2:5" x14ac:dyDescent="0.25">
      <c r="B327" s="43">
        <v>323</v>
      </c>
      <c r="C327" s="43" t="s">
        <v>654</v>
      </c>
      <c r="D327" s="97" t="s">
        <v>390</v>
      </c>
      <c r="E327" s="8">
        <v>30000</v>
      </c>
    </row>
    <row r="328" spans="2:5" x14ac:dyDescent="0.25">
      <c r="B328" s="43">
        <v>324</v>
      </c>
      <c r="C328" s="6" t="s">
        <v>655</v>
      </c>
      <c r="D328" s="97" t="s">
        <v>293</v>
      </c>
      <c r="E328" s="8">
        <v>1000</v>
      </c>
    </row>
    <row r="329" spans="2:5" x14ac:dyDescent="0.25">
      <c r="B329" s="43">
        <v>325</v>
      </c>
      <c r="C329" s="6" t="s">
        <v>656</v>
      </c>
      <c r="D329" s="97" t="s">
        <v>294</v>
      </c>
      <c r="E329" s="8">
        <v>2000</v>
      </c>
    </row>
    <row r="330" spans="2:5" x14ac:dyDescent="0.25">
      <c r="B330" s="43">
        <v>326</v>
      </c>
      <c r="C330" s="43" t="s">
        <v>704</v>
      </c>
      <c r="D330" s="97" t="s">
        <v>700</v>
      </c>
      <c r="E330" s="8">
        <v>1000</v>
      </c>
    </row>
    <row r="331" spans="2:5" x14ac:dyDescent="0.25">
      <c r="B331" s="43">
        <v>327</v>
      </c>
      <c r="C331" s="43" t="s">
        <v>816</v>
      </c>
      <c r="D331" s="97" t="s">
        <v>701</v>
      </c>
      <c r="E331" s="8">
        <v>2000</v>
      </c>
    </row>
    <row r="332" spans="2:5" ht="30" x14ac:dyDescent="0.25">
      <c r="B332" s="43">
        <v>328</v>
      </c>
      <c r="C332" s="6" t="s">
        <v>658</v>
      </c>
      <c r="D332" s="77" t="s">
        <v>295</v>
      </c>
      <c r="E332" s="8">
        <v>1350</v>
      </c>
    </row>
    <row r="333" spans="2:5" x14ac:dyDescent="0.25">
      <c r="B333" s="43">
        <v>329</v>
      </c>
      <c r="C333" s="6" t="s">
        <v>662</v>
      </c>
      <c r="D333" s="97" t="s">
        <v>296</v>
      </c>
      <c r="E333" s="8">
        <v>3000</v>
      </c>
    </row>
    <row r="334" spans="2:5" x14ac:dyDescent="0.25">
      <c r="B334" s="43">
        <v>330</v>
      </c>
      <c r="C334" s="6" t="s">
        <v>661</v>
      </c>
      <c r="D334" s="97" t="s">
        <v>297</v>
      </c>
      <c r="E334" s="8">
        <v>4700</v>
      </c>
    </row>
    <row r="335" spans="2:5" x14ac:dyDescent="0.25">
      <c r="B335" s="43">
        <v>331</v>
      </c>
      <c r="C335" s="6" t="s">
        <v>659</v>
      </c>
      <c r="D335" s="97" t="s">
        <v>298</v>
      </c>
      <c r="E335" s="8">
        <v>4600</v>
      </c>
    </row>
    <row r="336" spans="2:5" x14ac:dyDescent="0.25">
      <c r="B336" s="43">
        <v>332</v>
      </c>
      <c r="C336" s="6" t="s">
        <v>663</v>
      </c>
      <c r="D336" s="97" t="s">
        <v>299</v>
      </c>
      <c r="E336" s="8">
        <v>3000</v>
      </c>
    </row>
    <row r="337" spans="2:5" x14ac:dyDescent="0.25">
      <c r="B337" s="43">
        <v>333</v>
      </c>
      <c r="C337" s="6" t="s">
        <v>664</v>
      </c>
      <c r="D337" s="97" t="s">
        <v>300</v>
      </c>
      <c r="E337" s="8">
        <v>4700</v>
      </c>
    </row>
    <row r="338" spans="2:5" x14ac:dyDescent="0.25">
      <c r="B338" s="43">
        <v>334</v>
      </c>
      <c r="C338" s="6" t="s">
        <v>660</v>
      </c>
      <c r="D338" s="97" t="s">
        <v>301</v>
      </c>
      <c r="E338" s="8">
        <v>4600</v>
      </c>
    </row>
    <row r="339" spans="2:5" x14ac:dyDescent="0.25">
      <c r="B339" s="43">
        <v>335</v>
      </c>
      <c r="C339" s="6" t="s">
        <v>665</v>
      </c>
      <c r="D339" s="97" t="s">
        <v>302</v>
      </c>
      <c r="E339" s="8">
        <v>5085</v>
      </c>
    </row>
    <row r="340" spans="2:5" x14ac:dyDescent="0.25">
      <c r="B340" s="43">
        <v>336</v>
      </c>
      <c r="C340" s="93"/>
      <c r="D340" s="97" t="s">
        <v>304</v>
      </c>
      <c r="E340" s="8">
        <v>3050</v>
      </c>
    </row>
    <row r="341" spans="2:5" x14ac:dyDescent="0.25">
      <c r="B341" s="43">
        <v>337</v>
      </c>
      <c r="C341" s="93"/>
      <c r="D341" s="97" t="s">
        <v>303</v>
      </c>
      <c r="E341" s="8">
        <v>5250</v>
      </c>
    </row>
    <row r="342" spans="2:5" x14ac:dyDescent="0.25">
      <c r="B342" s="43">
        <v>338</v>
      </c>
      <c r="C342" s="93"/>
      <c r="D342" s="97" t="s">
        <v>305</v>
      </c>
      <c r="E342" s="8">
        <v>3050</v>
      </c>
    </row>
    <row r="343" spans="2:5" x14ac:dyDescent="0.25">
      <c r="B343" s="43">
        <v>339</v>
      </c>
      <c r="C343" s="6" t="s">
        <v>666</v>
      </c>
      <c r="D343" s="97" t="s">
        <v>306</v>
      </c>
      <c r="E343" s="72">
        <v>33000</v>
      </c>
    </row>
    <row r="344" spans="2:5" x14ac:dyDescent="0.25">
      <c r="B344" s="43">
        <v>340</v>
      </c>
      <c r="C344" s="6" t="s">
        <v>667</v>
      </c>
      <c r="D344" s="97" t="s">
        <v>307</v>
      </c>
      <c r="E344" s="72">
        <v>35000</v>
      </c>
    </row>
    <row r="345" spans="2:5" x14ac:dyDescent="0.25">
      <c r="B345" s="43">
        <v>341</v>
      </c>
      <c r="C345" s="6" t="s">
        <v>668</v>
      </c>
      <c r="D345" s="97" t="s">
        <v>308</v>
      </c>
      <c r="E345" s="72">
        <v>4054</v>
      </c>
    </row>
    <row r="346" spans="2:5" x14ac:dyDescent="0.25">
      <c r="B346" s="43">
        <v>342</v>
      </c>
      <c r="C346" s="6" t="s">
        <v>669</v>
      </c>
      <c r="D346" s="97" t="s">
        <v>309</v>
      </c>
      <c r="E346" s="8">
        <v>33000</v>
      </c>
    </row>
    <row r="347" spans="2:5" x14ac:dyDescent="0.25">
      <c r="B347" s="43">
        <v>343</v>
      </c>
      <c r="C347" s="6" t="s">
        <v>670</v>
      </c>
      <c r="D347" s="97" t="s">
        <v>310</v>
      </c>
      <c r="E347" s="8">
        <v>33000</v>
      </c>
    </row>
    <row r="348" spans="2:5" x14ac:dyDescent="0.25">
      <c r="B348" s="43">
        <v>344</v>
      </c>
      <c r="C348" s="6" t="s">
        <v>672</v>
      </c>
      <c r="D348" s="97" t="s">
        <v>311</v>
      </c>
      <c r="E348" s="8">
        <v>1300</v>
      </c>
    </row>
    <row r="349" spans="2:5" x14ac:dyDescent="0.25">
      <c r="B349" s="43">
        <v>345</v>
      </c>
      <c r="C349" s="6" t="s">
        <v>671</v>
      </c>
      <c r="D349" s="97" t="s">
        <v>312</v>
      </c>
      <c r="E349" s="8">
        <v>650</v>
      </c>
    </row>
    <row r="350" spans="2:5" x14ac:dyDescent="0.25">
      <c r="B350" s="43">
        <v>346</v>
      </c>
      <c r="C350" s="6" t="s">
        <v>675</v>
      </c>
      <c r="D350" s="97" t="s">
        <v>313</v>
      </c>
      <c r="E350" s="8">
        <v>5000</v>
      </c>
    </row>
    <row r="351" spans="2:5" x14ac:dyDescent="0.25">
      <c r="B351" s="43">
        <v>347</v>
      </c>
      <c r="C351" s="6" t="s">
        <v>674</v>
      </c>
      <c r="D351" s="97" t="s">
        <v>314</v>
      </c>
      <c r="E351" s="8">
        <v>58000</v>
      </c>
    </row>
    <row r="352" spans="2:5" x14ac:dyDescent="0.25">
      <c r="B352" s="43">
        <v>348</v>
      </c>
      <c r="C352" s="6" t="s">
        <v>673</v>
      </c>
      <c r="D352" s="97" t="s">
        <v>315</v>
      </c>
      <c r="E352" s="8">
        <v>64000</v>
      </c>
    </row>
    <row r="353" spans="2:5" ht="30" x14ac:dyDescent="0.25">
      <c r="B353" s="43">
        <v>349</v>
      </c>
      <c r="C353" s="6" t="s">
        <v>673</v>
      </c>
      <c r="D353" s="77" t="s">
        <v>316</v>
      </c>
      <c r="E353" s="8">
        <v>60000</v>
      </c>
    </row>
    <row r="354" spans="2:5" ht="30" x14ac:dyDescent="0.25">
      <c r="B354" s="43">
        <v>350</v>
      </c>
      <c r="C354" s="6" t="s">
        <v>676</v>
      </c>
      <c r="D354" s="77" t="s">
        <v>317</v>
      </c>
      <c r="E354" s="8">
        <v>49500</v>
      </c>
    </row>
    <row r="355" spans="2:5" x14ac:dyDescent="0.25">
      <c r="B355" s="43">
        <v>351</v>
      </c>
      <c r="C355" s="6"/>
      <c r="D355" s="97" t="s">
        <v>318</v>
      </c>
      <c r="E355" s="8">
        <v>3710</v>
      </c>
    </row>
    <row r="356" spans="2:5" x14ac:dyDescent="0.25">
      <c r="B356" s="43">
        <v>352</v>
      </c>
      <c r="C356" s="6"/>
      <c r="D356" s="97" t="s">
        <v>319</v>
      </c>
      <c r="E356" s="8">
        <v>4150</v>
      </c>
    </row>
    <row r="357" spans="2:5" x14ac:dyDescent="0.25">
      <c r="B357" s="43">
        <v>353</v>
      </c>
      <c r="C357" s="6"/>
      <c r="D357" s="97" t="s">
        <v>320</v>
      </c>
      <c r="E357" s="8">
        <v>3550</v>
      </c>
    </row>
    <row r="358" spans="2:5" ht="30" x14ac:dyDescent="0.25">
      <c r="B358" s="43">
        <v>354</v>
      </c>
      <c r="C358" s="6" t="s">
        <v>677</v>
      </c>
      <c r="D358" s="77" t="s">
        <v>321</v>
      </c>
      <c r="E358" s="8">
        <v>3800</v>
      </c>
    </row>
    <row r="359" spans="2:5" x14ac:dyDescent="0.25">
      <c r="B359" s="43">
        <v>355</v>
      </c>
      <c r="C359" s="93"/>
      <c r="D359" s="97" t="s">
        <v>322</v>
      </c>
      <c r="E359" s="8">
        <v>4500</v>
      </c>
    </row>
    <row r="360" spans="2:5" x14ac:dyDescent="0.25">
      <c r="B360" s="43">
        <v>356</v>
      </c>
      <c r="C360" s="93"/>
      <c r="D360" s="97" t="s">
        <v>323</v>
      </c>
      <c r="E360" s="8">
        <v>4000</v>
      </c>
    </row>
    <row r="361" spans="2:5" x14ac:dyDescent="0.25">
      <c r="B361" s="43">
        <v>357</v>
      </c>
      <c r="C361" s="93"/>
      <c r="D361" s="97" t="s">
        <v>324</v>
      </c>
      <c r="E361" s="8">
        <v>4100</v>
      </c>
    </row>
    <row r="362" spans="2:5" x14ac:dyDescent="0.25">
      <c r="B362" s="43">
        <v>358</v>
      </c>
      <c r="C362" s="93"/>
      <c r="D362" s="97" t="s">
        <v>325</v>
      </c>
      <c r="E362" s="8">
        <v>5727</v>
      </c>
    </row>
    <row r="363" spans="2:5" x14ac:dyDescent="0.25">
      <c r="B363" s="43">
        <v>359</v>
      </c>
      <c r="C363" s="93"/>
      <c r="D363" s="97" t="s">
        <v>326</v>
      </c>
      <c r="E363" s="8">
        <v>4700</v>
      </c>
    </row>
    <row r="364" spans="2:5" x14ac:dyDescent="0.25">
      <c r="B364" s="43">
        <v>360</v>
      </c>
      <c r="C364" s="43" t="s">
        <v>688</v>
      </c>
      <c r="D364" s="97" t="s">
        <v>327</v>
      </c>
      <c r="E364" s="8">
        <v>4700</v>
      </c>
    </row>
    <row r="365" spans="2:5" x14ac:dyDescent="0.25">
      <c r="B365" s="43">
        <v>361</v>
      </c>
      <c r="C365" s="93"/>
      <c r="D365" s="97" t="s">
        <v>328</v>
      </c>
      <c r="E365" s="8">
        <v>4700</v>
      </c>
    </row>
    <row r="366" spans="2:5" x14ac:dyDescent="0.25">
      <c r="B366" s="43">
        <v>362</v>
      </c>
      <c r="C366" s="93"/>
      <c r="D366" s="97" t="s">
        <v>329</v>
      </c>
      <c r="E366" s="8">
        <v>4100</v>
      </c>
    </row>
    <row r="367" spans="2:5" x14ac:dyDescent="0.25">
      <c r="B367" s="43">
        <v>363</v>
      </c>
      <c r="C367" s="93"/>
      <c r="D367" s="97" t="s">
        <v>330</v>
      </c>
      <c r="E367" s="8">
        <v>4050</v>
      </c>
    </row>
    <row r="368" spans="2:5" x14ac:dyDescent="0.25">
      <c r="B368" s="43">
        <v>364</v>
      </c>
      <c r="C368" s="93"/>
      <c r="D368" s="97" t="s">
        <v>331</v>
      </c>
      <c r="E368" s="8">
        <v>5727</v>
      </c>
    </row>
    <row r="369" spans="2:5" x14ac:dyDescent="0.25">
      <c r="B369" s="43">
        <v>365</v>
      </c>
      <c r="C369" s="93"/>
      <c r="D369" s="97" t="s">
        <v>332</v>
      </c>
      <c r="E369" s="8">
        <v>39640</v>
      </c>
    </row>
    <row r="370" spans="2:5" ht="30" x14ac:dyDescent="0.25">
      <c r="B370" s="43">
        <v>366</v>
      </c>
      <c r="C370" s="6" t="s">
        <v>678</v>
      </c>
      <c r="D370" s="77" t="s">
        <v>333</v>
      </c>
      <c r="E370" s="8">
        <v>14000</v>
      </c>
    </row>
    <row r="371" spans="2:5" x14ac:dyDescent="0.25">
      <c r="B371" s="43">
        <v>367</v>
      </c>
      <c r="C371" s="6" t="s">
        <v>679</v>
      </c>
      <c r="D371" s="97" t="s">
        <v>334</v>
      </c>
      <c r="E371" s="8">
        <v>7500</v>
      </c>
    </row>
    <row r="372" spans="2:5" ht="30" x14ac:dyDescent="0.25">
      <c r="B372" s="43">
        <v>368</v>
      </c>
      <c r="C372" s="6" t="s">
        <v>680</v>
      </c>
      <c r="D372" s="77" t="s">
        <v>335</v>
      </c>
      <c r="E372" s="8">
        <v>7207</v>
      </c>
    </row>
    <row r="373" spans="2:5" ht="30" x14ac:dyDescent="0.25">
      <c r="B373" s="43">
        <v>369</v>
      </c>
      <c r="C373" s="6" t="s">
        <v>680</v>
      </c>
      <c r="D373" s="77" t="s">
        <v>336</v>
      </c>
      <c r="E373" s="8">
        <v>8600</v>
      </c>
    </row>
    <row r="374" spans="2:5" x14ac:dyDescent="0.25">
      <c r="B374" s="43">
        <v>370</v>
      </c>
      <c r="C374" s="6" t="s">
        <v>679</v>
      </c>
      <c r="D374" s="97" t="s">
        <v>337</v>
      </c>
      <c r="E374" s="8">
        <v>7500</v>
      </c>
    </row>
    <row r="375" spans="2:5" x14ac:dyDescent="0.25">
      <c r="B375" s="43">
        <v>371</v>
      </c>
      <c r="C375" s="93"/>
      <c r="D375" s="97" t="s">
        <v>338</v>
      </c>
      <c r="E375" s="8">
        <v>6400</v>
      </c>
    </row>
    <row r="376" spans="2:5" x14ac:dyDescent="0.25">
      <c r="B376" s="43">
        <v>372</v>
      </c>
      <c r="C376" s="93"/>
      <c r="D376" s="97" t="s">
        <v>339</v>
      </c>
      <c r="E376" s="8">
        <v>6400</v>
      </c>
    </row>
    <row r="377" spans="2:5" x14ac:dyDescent="0.25">
      <c r="B377" s="43">
        <v>373</v>
      </c>
      <c r="C377" s="93"/>
      <c r="D377" s="97" t="s">
        <v>340</v>
      </c>
      <c r="E377" s="8">
        <v>6400</v>
      </c>
    </row>
    <row r="378" spans="2:5" x14ac:dyDescent="0.25">
      <c r="B378" s="43">
        <v>374</v>
      </c>
      <c r="C378" s="93"/>
      <c r="D378" s="97" t="s">
        <v>341</v>
      </c>
      <c r="E378" s="8">
        <v>6400</v>
      </c>
    </row>
    <row r="379" spans="2:5" x14ac:dyDescent="0.25">
      <c r="B379" s="43">
        <v>375</v>
      </c>
      <c r="C379" s="93"/>
      <c r="D379" s="97" t="s">
        <v>342</v>
      </c>
      <c r="E379" s="8">
        <v>6400</v>
      </c>
    </row>
    <row r="380" spans="2:5" x14ac:dyDescent="0.25">
      <c r="B380" s="43">
        <v>376</v>
      </c>
      <c r="C380" s="93"/>
      <c r="D380" s="97" t="s">
        <v>343</v>
      </c>
      <c r="E380" s="8">
        <v>6400</v>
      </c>
    </row>
    <row r="381" spans="2:5" x14ac:dyDescent="0.25">
      <c r="B381" s="43">
        <v>377</v>
      </c>
      <c r="C381" s="93"/>
      <c r="D381" s="97" t="s">
        <v>344</v>
      </c>
      <c r="E381" s="8">
        <v>24000</v>
      </c>
    </row>
    <row r="382" spans="2:5" x14ac:dyDescent="0.25">
      <c r="B382" s="43">
        <v>378</v>
      </c>
      <c r="C382" s="93"/>
      <c r="D382" s="97" t="s">
        <v>345</v>
      </c>
      <c r="E382" s="8">
        <v>4700</v>
      </c>
    </row>
    <row r="383" spans="2:5" ht="30" x14ac:dyDescent="0.25">
      <c r="B383" s="43">
        <v>379</v>
      </c>
      <c r="C383" s="6" t="s">
        <v>681</v>
      </c>
      <c r="D383" s="77" t="s">
        <v>346</v>
      </c>
      <c r="E383" s="8">
        <v>13000</v>
      </c>
    </row>
    <row r="384" spans="2:5" x14ac:dyDescent="0.25">
      <c r="B384" s="43">
        <v>380</v>
      </c>
      <c r="C384" s="6" t="s">
        <v>820</v>
      </c>
      <c r="D384" s="97" t="s">
        <v>819</v>
      </c>
      <c r="E384" s="72">
        <v>5600</v>
      </c>
    </row>
    <row r="385" spans="1:5" x14ac:dyDescent="0.25">
      <c r="A385" s="50"/>
      <c r="B385" s="43">
        <v>381</v>
      </c>
      <c r="C385" s="43" t="s">
        <v>733</v>
      </c>
      <c r="D385" s="94" t="s">
        <v>722</v>
      </c>
      <c r="E385" s="95">
        <v>7950</v>
      </c>
    </row>
    <row r="386" spans="1:5" x14ac:dyDescent="0.25">
      <c r="A386" s="50"/>
      <c r="B386" s="43">
        <v>382</v>
      </c>
      <c r="C386" s="43" t="s">
        <v>734</v>
      </c>
      <c r="D386" s="94" t="s">
        <v>735</v>
      </c>
      <c r="E386" s="95">
        <v>35800</v>
      </c>
    </row>
    <row r="387" spans="1:5" x14ac:dyDescent="0.25">
      <c r="A387" s="50"/>
      <c r="B387" s="43">
        <v>383</v>
      </c>
      <c r="C387" s="43" t="s">
        <v>839</v>
      </c>
      <c r="D387" s="94" t="s">
        <v>736</v>
      </c>
      <c r="E387" s="95">
        <v>10800</v>
      </c>
    </row>
    <row r="388" spans="1:5" x14ac:dyDescent="0.25">
      <c r="A388" s="50"/>
      <c r="B388" s="43">
        <v>384</v>
      </c>
      <c r="C388" s="43" t="s">
        <v>732</v>
      </c>
      <c r="D388" s="94" t="s">
        <v>723</v>
      </c>
      <c r="E388" s="95">
        <v>3950</v>
      </c>
    </row>
    <row r="389" spans="1:5" x14ac:dyDescent="0.25">
      <c r="A389" s="50"/>
      <c r="B389" s="43">
        <v>385</v>
      </c>
      <c r="C389" s="43" t="s">
        <v>737</v>
      </c>
      <c r="D389" s="94" t="s">
        <v>724</v>
      </c>
      <c r="E389" s="95">
        <v>4000</v>
      </c>
    </row>
    <row r="390" spans="1:5" x14ac:dyDescent="0.25">
      <c r="B390" s="43">
        <v>386</v>
      </c>
      <c r="C390" s="6" t="s">
        <v>805</v>
      </c>
      <c r="D390" s="97" t="s">
        <v>747</v>
      </c>
      <c r="E390" s="8">
        <v>1000</v>
      </c>
    </row>
    <row r="391" spans="1:5" x14ac:dyDescent="0.25">
      <c r="B391" s="43">
        <v>387</v>
      </c>
      <c r="C391" s="6" t="s">
        <v>796</v>
      </c>
      <c r="D391" s="97" t="s">
        <v>748</v>
      </c>
      <c r="E391" s="8">
        <v>900</v>
      </c>
    </row>
    <row r="392" spans="1:5" x14ac:dyDescent="0.25">
      <c r="B392" s="43">
        <v>388</v>
      </c>
      <c r="C392" s="6" t="s">
        <v>797</v>
      </c>
      <c r="D392" s="97" t="s">
        <v>749</v>
      </c>
      <c r="E392" s="8">
        <v>1800</v>
      </c>
    </row>
    <row r="393" spans="1:5" x14ac:dyDescent="0.25">
      <c r="B393" s="43">
        <v>389</v>
      </c>
      <c r="C393" s="6" t="s">
        <v>798</v>
      </c>
      <c r="D393" s="97" t="s">
        <v>750</v>
      </c>
      <c r="E393" s="8">
        <v>3600</v>
      </c>
    </row>
    <row r="394" spans="1:5" x14ac:dyDescent="0.25">
      <c r="B394" s="43">
        <v>390</v>
      </c>
      <c r="C394" s="6" t="s">
        <v>793</v>
      </c>
      <c r="D394" s="97" t="s">
        <v>751</v>
      </c>
      <c r="E394" s="8">
        <v>900</v>
      </c>
    </row>
    <row r="395" spans="1:5" x14ac:dyDescent="0.25">
      <c r="B395" s="43">
        <v>391</v>
      </c>
      <c r="C395" s="6" t="s">
        <v>794</v>
      </c>
      <c r="D395" s="97" t="s">
        <v>752</v>
      </c>
      <c r="E395" s="8">
        <v>1800</v>
      </c>
    </row>
    <row r="396" spans="1:5" x14ac:dyDescent="0.25">
      <c r="B396" s="43">
        <v>392</v>
      </c>
      <c r="C396" s="6" t="s">
        <v>795</v>
      </c>
      <c r="D396" s="97" t="s">
        <v>753</v>
      </c>
      <c r="E396" s="8">
        <v>3600</v>
      </c>
    </row>
    <row r="397" spans="1:5" x14ac:dyDescent="0.25">
      <c r="B397" s="43">
        <v>393</v>
      </c>
      <c r="C397" s="6" t="s">
        <v>790</v>
      </c>
      <c r="D397" s="97" t="s">
        <v>754</v>
      </c>
      <c r="E397" s="8">
        <v>900</v>
      </c>
    </row>
    <row r="398" spans="1:5" x14ac:dyDescent="0.25">
      <c r="B398" s="43">
        <v>394</v>
      </c>
      <c r="C398" s="6" t="s">
        <v>791</v>
      </c>
      <c r="D398" s="97" t="s">
        <v>755</v>
      </c>
      <c r="E398" s="8">
        <v>1800</v>
      </c>
    </row>
    <row r="399" spans="1:5" x14ac:dyDescent="0.25">
      <c r="B399" s="43">
        <v>395</v>
      </c>
      <c r="C399" s="6" t="s">
        <v>792</v>
      </c>
      <c r="D399" s="97" t="s">
        <v>756</v>
      </c>
      <c r="E399" s="8">
        <v>3600</v>
      </c>
    </row>
    <row r="400" spans="1:5" x14ac:dyDescent="0.25">
      <c r="B400" s="43">
        <v>396</v>
      </c>
      <c r="C400" s="6" t="s">
        <v>787</v>
      </c>
      <c r="D400" s="97" t="s">
        <v>757</v>
      </c>
      <c r="E400" s="8">
        <v>900</v>
      </c>
    </row>
    <row r="401" spans="2:5" x14ac:dyDescent="0.25">
      <c r="B401" s="43">
        <v>397</v>
      </c>
      <c r="C401" s="6" t="s">
        <v>788</v>
      </c>
      <c r="D401" s="97" t="s">
        <v>758</v>
      </c>
      <c r="E401" s="8">
        <v>1800</v>
      </c>
    </row>
    <row r="402" spans="2:5" x14ac:dyDescent="0.25">
      <c r="B402" s="43">
        <v>398</v>
      </c>
      <c r="C402" s="6" t="s">
        <v>789</v>
      </c>
      <c r="D402" s="97" t="s">
        <v>759</v>
      </c>
      <c r="E402" s="8">
        <v>3600</v>
      </c>
    </row>
    <row r="403" spans="2:5" x14ac:dyDescent="0.25">
      <c r="B403" s="43">
        <v>399</v>
      </c>
      <c r="C403" s="6" t="s">
        <v>802</v>
      </c>
      <c r="D403" s="97" t="s">
        <v>760</v>
      </c>
      <c r="E403" s="8">
        <v>900</v>
      </c>
    </row>
    <row r="404" spans="2:5" x14ac:dyDescent="0.25">
      <c r="B404" s="43">
        <v>400</v>
      </c>
      <c r="C404" s="6" t="s">
        <v>803</v>
      </c>
      <c r="D404" s="97" t="s">
        <v>761</v>
      </c>
      <c r="E404" s="8">
        <v>1800</v>
      </c>
    </row>
    <row r="405" spans="2:5" x14ac:dyDescent="0.25">
      <c r="B405" s="43">
        <v>401</v>
      </c>
      <c r="C405" s="6" t="s">
        <v>804</v>
      </c>
      <c r="D405" s="97" t="s">
        <v>762</v>
      </c>
      <c r="E405" s="8">
        <v>3600</v>
      </c>
    </row>
    <row r="406" spans="2:5" x14ac:dyDescent="0.25">
      <c r="B406" s="43">
        <v>402</v>
      </c>
      <c r="C406" s="6" t="s">
        <v>799</v>
      </c>
      <c r="D406" s="97" t="s">
        <v>763</v>
      </c>
      <c r="E406" s="8">
        <v>900</v>
      </c>
    </row>
    <row r="407" spans="2:5" x14ac:dyDescent="0.25">
      <c r="B407" s="43">
        <v>403</v>
      </c>
      <c r="C407" s="6" t="s">
        <v>800</v>
      </c>
      <c r="D407" s="97" t="s">
        <v>764</v>
      </c>
      <c r="E407" s="8">
        <v>1800</v>
      </c>
    </row>
    <row r="408" spans="2:5" x14ac:dyDescent="0.25">
      <c r="B408" s="43">
        <v>404</v>
      </c>
      <c r="C408" s="6" t="s">
        <v>801</v>
      </c>
      <c r="D408" s="97" t="s">
        <v>765</v>
      </c>
      <c r="E408" s="8">
        <v>3600</v>
      </c>
    </row>
    <row r="409" spans="2:5" x14ac:dyDescent="0.25">
      <c r="B409" s="43">
        <v>405</v>
      </c>
      <c r="C409" s="6" t="s">
        <v>806</v>
      </c>
      <c r="D409" s="97" t="s">
        <v>766</v>
      </c>
      <c r="E409" s="8">
        <v>600</v>
      </c>
    </row>
    <row r="410" spans="2:5" x14ac:dyDescent="0.25">
      <c r="B410" s="43">
        <v>406</v>
      </c>
      <c r="C410" s="6" t="s">
        <v>807</v>
      </c>
      <c r="D410" s="97" t="s">
        <v>767</v>
      </c>
      <c r="E410" s="8">
        <v>1200</v>
      </c>
    </row>
    <row r="411" spans="2:5" x14ac:dyDescent="0.25">
      <c r="B411" s="43">
        <v>407</v>
      </c>
      <c r="C411" s="6" t="s">
        <v>808</v>
      </c>
      <c r="D411" s="97" t="s">
        <v>768</v>
      </c>
      <c r="E411" s="8">
        <v>1800</v>
      </c>
    </row>
    <row r="412" spans="2:5" x14ac:dyDescent="0.25">
      <c r="B412" s="43">
        <v>408</v>
      </c>
      <c r="C412" s="6" t="s">
        <v>809</v>
      </c>
      <c r="D412" s="97" t="s">
        <v>769</v>
      </c>
      <c r="E412" s="8">
        <v>600</v>
      </c>
    </row>
    <row r="413" spans="2:5" x14ac:dyDescent="0.25">
      <c r="B413" s="43">
        <v>409</v>
      </c>
      <c r="C413" s="6" t="s">
        <v>810</v>
      </c>
      <c r="D413" s="97" t="s">
        <v>770</v>
      </c>
      <c r="E413" s="8">
        <v>1200</v>
      </c>
    </row>
    <row r="414" spans="2:5" x14ac:dyDescent="0.25">
      <c r="B414" s="43">
        <v>410</v>
      </c>
      <c r="C414" s="6" t="s">
        <v>811</v>
      </c>
      <c r="D414" s="97" t="s">
        <v>771</v>
      </c>
      <c r="E414" s="8">
        <v>1800</v>
      </c>
    </row>
    <row r="415" spans="2:5" x14ac:dyDescent="0.25">
      <c r="B415" s="43">
        <v>411</v>
      </c>
      <c r="C415" s="6" t="s">
        <v>812</v>
      </c>
      <c r="D415" s="97" t="s">
        <v>772</v>
      </c>
      <c r="E415" s="8">
        <v>600</v>
      </c>
    </row>
    <row r="416" spans="2:5" x14ac:dyDescent="0.25">
      <c r="B416" s="43">
        <v>412</v>
      </c>
      <c r="C416" s="6" t="s">
        <v>813</v>
      </c>
      <c r="D416" s="97" t="s">
        <v>773</v>
      </c>
      <c r="E416" s="8">
        <v>1800</v>
      </c>
    </row>
    <row r="417" spans="2:5" x14ac:dyDescent="0.25">
      <c r="B417" s="43">
        <v>413</v>
      </c>
      <c r="C417" s="6" t="s">
        <v>814</v>
      </c>
      <c r="D417" s="97" t="s">
        <v>815</v>
      </c>
      <c r="E417" s="8">
        <v>4000</v>
      </c>
    </row>
    <row r="418" spans="2:5" x14ac:dyDescent="0.25">
      <c r="B418" s="43">
        <v>414</v>
      </c>
      <c r="C418" s="6" t="s">
        <v>827</v>
      </c>
      <c r="D418" s="97" t="s">
        <v>828</v>
      </c>
      <c r="E418" s="8">
        <v>2400</v>
      </c>
    </row>
    <row r="419" spans="2:5" x14ac:dyDescent="0.25">
      <c r="B419" s="43">
        <v>415</v>
      </c>
      <c r="C419" s="6" t="s">
        <v>970</v>
      </c>
      <c r="D419" s="97" t="s">
        <v>972</v>
      </c>
      <c r="E419" s="8">
        <v>1400</v>
      </c>
    </row>
    <row r="420" spans="2:5" x14ac:dyDescent="0.25">
      <c r="B420" s="43">
        <v>416</v>
      </c>
      <c r="C420" s="6" t="s">
        <v>971</v>
      </c>
      <c r="D420" s="97" t="s">
        <v>973</v>
      </c>
      <c r="E420" s="8">
        <v>700</v>
      </c>
    </row>
    <row r="421" spans="2:5" x14ac:dyDescent="0.25">
      <c r="B421" s="43">
        <v>417</v>
      </c>
      <c r="C421" s="6" t="s">
        <v>979</v>
      </c>
      <c r="D421" s="97" t="s">
        <v>978</v>
      </c>
      <c r="E421" s="8">
        <v>2700</v>
      </c>
    </row>
    <row r="422" spans="2:5" x14ac:dyDescent="0.25">
      <c r="B422" s="43">
        <v>418</v>
      </c>
      <c r="C422" s="6" t="s">
        <v>980</v>
      </c>
      <c r="D422" s="97" t="s">
        <v>976</v>
      </c>
      <c r="E422" s="8">
        <v>9150</v>
      </c>
    </row>
    <row r="423" spans="2:5" x14ac:dyDescent="0.25">
      <c r="B423" s="43">
        <v>419</v>
      </c>
      <c r="C423" s="56" t="s">
        <v>992</v>
      </c>
      <c r="D423" s="97" t="s">
        <v>993</v>
      </c>
      <c r="E423" s="8">
        <v>7200</v>
      </c>
    </row>
    <row r="424" spans="2:5" x14ac:dyDescent="0.25">
      <c r="B424" s="43">
        <v>420</v>
      </c>
      <c r="C424" s="6" t="s">
        <v>995</v>
      </c>
      <c r="D424" s="97" t="s">
        <v>998</v>
      </c>
      <c r="E424" s="8">
        <v>6600</v>
      </c>
    </row>
    <row r="425" spans="2:5" x14ac:dyDescent="0.25">
      <c r="B425" s="43">
        <v>421</v>
      </c>
      <c r="C425" s="6" t="s">
        <v>996</v>
      </c>
      <c r="D425" s="97" t="s">
        <v>999</v>
      </c>
      <c r="E425" s="8">
        <v>9900</v>
      </c>
    </row>
    <row r="426" spans="2:5" x14ac:dyDescent="0.25">
      <c r="B426" s="43">
        <v>422</v>
      </c>
      <c r="C426" s="6" t="s">
        <v>997</v>
      </c>
      <c r="D426" s="97" t="s">
        <v>1000</v>
      </c>
      <c r="E426" s="8">
        <v>13200</v>
      </c>
    </row>
    <row r="427" spans="2:5" x14ac:dyDescent="0.25">
      <c r="B427" s="43">
        <v>423</v>
      </c>
      <c r="C427" s="6"/>
      <c r="D427" s="97" t="s">
        <v>1009</v>
      </c>
      <c r="E427" s="8">
        <v>6800</v>
      </c>
    </row>
    <row r="428" spans="2:5" x14ac:dyDescent="0.25">
      <c r="B428" s="43">
        <v>424</v>
      </c>
      <c r="C428" s="6"/>
      <c r="D428" s="97" t="s">
        <v>1010</v>
      </c>
      <c r="E428" s="8">
        <v>6800</v>
      </c>
    </row>
    <row r="429" spans="2:5" x14ac:dyDescent="0.25">
      <c r="B429" s="43">
        <v>425</v>
      </c>
      <c r="C429" s="6"/>
      <c r="D429" s="97" t="s">
        <v>1011</v>
      </c>
      <c r="E429" s="8">
        <v>6800</v>
      </c>
    </row>
    <row r="430" spans="2:5" x14ac:dyDescent="0.25">
      <c r="B430" s="43">
        <v>426</v>
      </c>
      <c r="C430" s="6"/>
      <c r="D430" s="97" t="s">
        <v>1012</v>
      </c>
      <c r="E430" s="8">
        <v>6800</v>
      </c>
    </row>
    <row r="431" spans="2:5" x14ac:dyDescent="0.25">
      <c r="B431" s="43">
        <v>427</v>
      </c>
      <c r="C431" s="6"/>
      <c r="D431" s="97" t="s">
        <v>1013</v>
      </c>
      <c r="E431" s="8">
        <v>6800</v>
      </c>
    </row>
    <row r="432" spans="2:5" x14ac:dyDescent="0.25">
      <c r="B432" s="43">
        <v>428</v>
      </c>
      <c r="C432" s="6"/>
      <c r="D432" s="97" t="s">
        <v>1014</v>
      </c>
      <c r="E432" s="8">
        <v>6800</v>
      </c>
    </row>
    <row r="433" spans="2:5" x14ac:dyDescent="0.25">
      <c r="B433" s="43"/>
      <c r="C433" s="6"/>
      <c r="D433" s="97"/>
      <c r="E433" s="8"/>
    </row>
    <row r="434" spans="2:5" x14ac:dyDescent="0.25">
      <c r="B434" s="43"/>
      <c r="C434" s="6"/>
      <c r="D434" s="97"/>
      <c r="E434" s="8"/>
    </row>
  </sheetData>
  <mergeCells count="4">
    <mergeCell ref="B3:B4"/>
    <mergeCell ref="C3:C4"/>
    <mergeCell ref="D3:D4"/>
    <mergeCell ref="E3:E4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32C01-DD8D-4F86-950C-0E1C3F10EC46}">
  <dimension ref="B1:H422"/>
  <sheetViews>
    <sheetView topLeftCell="A13" workbookViewId="0">
      <selection activeCell="D71" sqref="D71"/>
    </sheetView>
  </sheetViews>
  <sheetFormatPr defaultRowHeight="15" x14ac:dyDescent="0.25"/>
  <cols>
    <col min="1" max="1" width="2" customWidth="1"/>
    <col min="2" max="2" width="5" style="54" customWidth="1"/>
    <col min="3" max="3" width="15.5703125" style="2" bestFit="1" customWidth="1"/>
    <col min="4" max="4" width="57.5703125" style="2" bestFit="1" customWidth="1"/>
    <col min="5" max="5" width="22" style="2" bestFit="1" customWidth="1"/>
    <col min="6" max="6" width="12.5703125" style="19" bestFit="1" customWidth="1"/>
    <col min="7" max="7" width="30.28515625" bestFit="1" customWidth="1"/>
  </cols>
  <sheetData>
    <row r="1" spans="2:7" ht="15.75" x14ac:dyDescent="0.25">
      <c r="B1" s="55" t="s">
        <v>0</v>
      </c>
      <c r="C1" s="20"/>
      <c r="D1" s="20"/>
      <c r="E1" s="20"/>
      <c r="F1" s="16"/>
    </row>
    <row r="2" spans="2:7" ht="15.75" x14ac:dyDescent="0.25">
      <c r="B2" s="57"/>
      <c r="C2" s="20"/>
      <c r="D2" s="20"/>
      <c r="E2" s="20"/>
      <c r="F2" s="16"/>
    </row>
    <row r="3" spans="2:7" ht="15.75" customHeight="1" x14ac:dyDescent="0.25">
      <c r="B3" s="120" t="s">
        <v>3</v>
      </c>
      <c r="C3" s="121" t="s">
        <v>397</v>
      </c>
      <c r="D3" s="123" t="s">
        <v>840</v>
      </c>
      <c r="E3" s="129" t="s">
        <v>841</v>
      </c>
      <c r="F3" s="127" t="s">
        <v>1</v>
      </c>
    </row>
    <row r="4" spans="2:7" s="3" customFormat="1" ht="15.75" customHeight="1" x14ac:dyDescent="0.25">
      <c r="B4" s="120"/>
      <c r="C4" s="122"/>
      <c r="D4" s="123"/>
      <c r="E4" s="130"/>
      <c r="F4" s="128"/>
    </row>
    <row r="5" spans="2:7" s="48" customFormat="1" x14ac:dyDescent="0.25">
      <c r="B5" s="43">
        <v>1</v>
      </c>
      <c r="C5" s="44" t="s">
        <v>457</v>
      </c>
      <c r="D5" s="74" t="s">
        <v>850</v>
      </c>
      <c r="E5" s="44" t="s">
        <v>842</v>
      </c>
      <c r="F5" s="46">
        <v>7000</v>
      </c>
    </row>
    <row r="6" spans="2:7" s="48" customFormat="1" x14ac:dyDescent="0.25">
      <c r="B6" s="43">
        <v>2</v>
      </c>
      <c r="C6" s="44" t="s">
        <v>498</v>
      </c>
      <c r="D6" s="74" t="s">
        <v>851</v>
      </c>
      <c r="E6" s="44" t="s">
        <v>843</v>
      </c>
      <c r="F6" s="46">
        <v>5610</v>
      </c>
    </row>
    <row r="7" spans="2:7" s="48" customFormat="1" x14ac:dyDescent="0.25">
      <c r="B7" s="43">
        <v>3</v>
      </c>
      <c r="C7" s="44" t="s">
        <v>499</v>
      </c>
      <c r="D7" s="74" t="s">
        <v>852</v>
      </c>
      <c r="E7" s="44" t="s">
        <v>844</v>
      </c>
      <c r="F7" s="46">
        <v>4544</v>
      </c>
    </row>
    <row r="8" spans="2:7" s="48" customFormat="1" x14ac:dyDescent="0.25">
      <c r="B8" s="43">
        <v>4</v>
      </c>
      <c r="C8" s="44" t="s">
        <v>459</v>
      </c>
      <c r="D8" s="74" t="s">
        <v>853</v>
      </c>
      <c r="E8" s="44" t="s">
        <v>844</v>
      </c>
      <c r="F8" s="46">
        <v>5000</v>
      </c>
    </row>
    <row r="9" spans="2:7" s="48" customFormat="1" x14ac:dyDescent="0.25">
      <c r="B9" s="43">
        <v>5</v>
      </c>
      <c r="C9" s="44" t="s">
        <v>458</v>
      </c>
      <c r="D9" s="74" t="s">
        <v>854</v>
      </c>
      <c r="E9" s="44" t="s">
        <v>845</v>
      </c>
      <c r="F9" s="46">
        <v>4300</v>
      </c>
    </row>
    <row r="10" spans="2:7" s="48" customFormat="1" x14ac:dyDescent="0.25">
      <c r="B10" s="43">
        <v>6</v>
      </c>
      <c r="C10" s="44" t="s">
        <v>490</v>
      </c>
      <c r="D10" s="74" t="s">
        <v>855</v>
      </c>
      <c r="E10" s="44" t="s">
        <v>846</v>
      </c>
      <c r="F10" s="46">
        <v>2839</v>
      </c>
    </row>
    <row r="11" spans="2:7" s="48" customFormat="1" x14ac:dyDescent="0.25">
      <c r="B11" s="43">
        <v>7</v>
      </c>
      <c r="C11" s="44" t="s">
        <v>500</v>
      </c>
      <c r="D11" s="74" t="s">
        <v>856</v>
      </c>
      <c r="E11" s="44" t="s">
        <v>844</v>
      </c>
      <c r="F11" s="46">
        <v>4544</v>
      </c>
    </row>
    <row r="12" spans="2:7" s="48" customFormat="1" x14ac:dyDescent="0.25">
      <c r="B12" s="43">
        <v>8</v>
      </c>
      <c r="C12" s="44" t="s">
        <v>497</v>
      </c>
      <c r="D12" s="74" t="s">
        <v>857</v>
      </c>
      <c r="E12" s="44" t="s">
        <v>848</v>
      </c>
      <c r="F12" s="46">
        <v>5100</v>
      </c>
    </row>
    <row r="13" spans="2:7" s="48" customFormat="1" x14ac:dyDescent="0.25">
      <c r="B13" s="43">
        <v>9</v>
      </c>
      <c r="C13" s="44" t="s">
        <v>491</v>
      </c>
      <c r="D13" s="74" t="s">
        <v>858</v>
      </c>
      <c r="E13" s="44" t="s">
        <v>847</v>
      </c>
      <c r="F13" s="46">
        <v>7160</v>
      </c>
    </row>
    <row r="14" spans="2:7" s="48" customFormat="1" x14ac:dyDescent="0.25">
      <c r="B14" s="43">
        <v>10</v>
      </c>
      <c r="C14" s="44" t="s">
        <v>492</v>
      </c>
      <c r="D14" s="74" t="s">
        <v>859</v>
      </c>
      <c r="E14" s="44" t="s">
        <v>849</v>
      </c>
      <c r="F14" s="46">
        <v>3350</v>
      </c>
    </row>
    <row r="15" spans="2:7" s="48" customFormat="1" x14ac:dyDescent="0.25">
      <c r="B15" s="43">
        <v>11</v>
      </c>
      <c r="C15" s="44" t="s">
        <v>979</v>
      </c>
      <c r="D15" s="74" t="s">
        <v>855</v>
      </c>
      <c r="E15" s="44" t="s">
        <v>981</v>
      </c>
      <c r="F15" s="46">
        <v>2700</v>
      </c>
      <c r="G15" s="81" t="s">
        <v>977</v>
      </c>
    </row>
    <row r="16" spans="2:7" s="48" customFormat="1" x14ac:dyDescent="0.25">
      <c r="B16" s="43">
        <v>12</v>
      </c>
      <c r="C16" s="44" t="s">
        <v>421</v>
      </c>
      <c r="D16" s="74" t="s">
        <v>867</v>
      </c>
      <c r="E16" s="44" t="s">
        <v>860</v>
      </c>
      <c r="F16" s="46">
        <v>25200</v>
      </c>
    </row>
    <row r="17" spans="2:7" s="48" customFormat="1" x14ac:dyDescent="0.25">
      <c r="B17" s="43">
        <v>13</v>
      </c>
      <c r="C17" s="44" t="s">
        <v>493</v>
      </c>
      <c r="D17" s="74" t="s">
        <v>868</v>
      </c>
      <c r="E17" s="44" t="s">
        <v>861</v>
      </c>
      <c r="F17" s="46">
        <v>19000</v>
      </c>
    </row>
    <row r="18" spans="2:7" s="48" customFormat="1" x14ac:dyDescent="0.25">
      <c r="B18" s="43">
        <v>14</v>
      </c>
      <c r="C18" s="44" t="s">
        <v>494</v>
      </c>
      <c r="D18" s="74" t="s">
        <v>869</v>
      </c>
      <c r="E18" s="44" t="s">
        <v>862</v>
      </c>
      <c r="F18" s="46">
        <v>2910</v>
      </c>
    </row>
    <row r="19" spans="2:7" s="48" customFormat="1" x14ac:dyDescent="0.25">
      <c r="B19" s="43">
        <v>15</v>
      </c>
      <c r="C19" s="44" t="s">
        <v>422</v>
      </c>
      <c r="D19" s="74" t="s">
        <v>870</v>
      </c>
      <c r="E19" s="44" t="s">
        <v>863</v>
      </c>
      <c r="F19" s="46">
        <v>339</v>
      </c>
    </row>
    <row r="20" spans="2:7" s="48" customFormat="1" x14ac:dyDescent="0.25">
      <c r="B20" s="43">
        <v>16</v>
      </c>
      <c r="C20" s="44" t="s">
        <v>495</v>
      </c>
      <c r="D20" s="74" t="s">
        <v>871</v>
      </c>
      <c r="E20" s="44" t="s">
        <v>863</v>
      </c>
      <c r="F20" s="46">
        <v>339</v>
      </c>
    </row>
    <row r="21" spans="2:7" s="48" customFormat="1" x14ac:dyDescent="0.25">
      <c r="B21" s="43">
        <v>17</v>
      </c>
      <c r="C21" s="44" t="s">
        <v>496</v>
      </c>
      <c r="D21" s="74" t="s">
        <v>872</v>
      </c>
      <c r="E21" s="44" t="s">
        <v>864</v>
      </c>
      <c r="F21" s="46">
        <v>3150</v>
      </c>
    </row>
    <row r="22" spans="2:7" s="48" customFormat="1" x14ac:dyDescent="0.25">
      <c r="B22" s="43">
        <v>18</v>
      </c>
      <c r="C22" s="44" t="s">
        <v>423</v>
      </c>
      <c r="D22" s="74" t="s">
        <v>873</v>
      </c>
      <c r="E22" s="44" t="s">
        <v>864</v>
      </c>
      <c r="F22" s="46">
        <v>3150</v>
      </c>
    </row>
    <row r="23" spans="2:7" s="48" customFormat="1" x14ac:dyDescent="0.25">
      <c r="B23" s="43">
        <v>19</v>
      </c>
      <c r="C23" s="44" t="s">
        <v>398</v>
      </c>
      <c r="D23" s="74" t="s">
        <v>874</v>
      </c>
      <c r="E23" s="44" t="s">
        <v>861</v>
      </c>
      <c r="F23" s="46">
        <v>19000</v>
      </c>
    </row>
    <row r="24" spans="2:7" s="48" customFormat="1" x14ac:dyDescent="0.25">
      <c r="B24" s="43">
        <v>20</v>
      </c>
      <c r="C24" s="44" t="s">
        <v>399</v>
      </c>
      <c r="D24" s="74" t="s">
        <v>874</v>
      </c>
      <c r="E24" s="44" t="s">
        <v>865</v>
      </c>
      <c r="F24" s="46">
        <v>28500</v>
      </c>
    </row>
    <row r="25" spans="2:7" s="48" customFormat="1" x14ac:dyDescent="0.25">
      <c r="B25" s="43">
        <v>21</v>
      </c>
      <c r="C25" s="44" t="s">
        <v>424</v>
      </c>
      <c r="D25" s="74" t="s">
        <v>874</v>
      </c>
      <c r="E25" s="44" t="s">
        <v>866</v>
      </c>
      <c r="F25" s="46">
        <v>395000</v>
      </c>
    </row>
    <row r="26" spans="2:7" s="48" customFormat="1" x14ac:dyDescent="0.25">
      <c r="B26" s="43">
        <v>22</v>
      </c>
      <c r="C26" s="44" t="s">
        <v>400</v>
      </c>
      <c r="D26" s="74" t="s">
        <v>874</v>
      </c>
      <c r="E26" s="44" t="s">
        <v>875</v>
      </c>
      <c r="F26" s="46">
        <v>22000</v>
      </c>
    </row>
    <row r="27" spans="2:7" s="48" customFormat="1" x14ac:dyDescent="0.25">
      <c r="B27" s="43">
        <v>23</v>
      </c>
      <c r="C27" s="44" t="s">
        <v>401</v>
      </c>
      <c r="D27" s="74" t="s">
        <v>874</v>
      </c>
      <c r="E27" s="44" t="s">
        <v>876</v>
      </c>
      <c r="F27" s="46">
        <v>35000</v>
      </c>
    </row>
    <row r="28" spans="2:7" s="48" customFormat="1" x14ac:dyDescent="0.25">
      <c r="B28" s="43">
        <v>24</v>
      </c>
      <c r="C28" s="44" t="s">
        <v>402</v>
      </c>
      <c r="D28" s="74" t="s">
        <v>874</v>
      </c>
      <c r="E28" s="44" t="s">
        <v>877</v>
      </c>
      <c r="F28" s="46">
        <v>38000</v>
      </c>
    </row>
    <row r="29" spans="2:7" s="48" customFormat="1" x14ac:dyDescent="0.25">
      <c r="B29" s="43">
        <v>25</v>
      </c>
      <c r="C29" s="44" t="s">
        <v>403</v>
      </c>
      <c r="D29" s="74" t="s">
        <v>874</v>
      </c>
      <c r="E29" s="44" t="s">
        <v>878</v>
      </c>
      <c r="F29" s="46">
        <v>44000</v>
      </c>
    </row>
    <row r="30" spans="2:7" s="48" customFormat="1" x14ac:dyDescent="0.25">
      <c r="B30" s="43">
        <v>26</v>
      </c>
      <c r="C30" s="44" t="s">
        <v>404</v>
      </c>
      <c r="D30" s="74" t="s">
        <v>874</v>
      </c>
      <c r="E30" s="44" t="s">
        <v>879</v>
      </c>
      <c r="F30" s="46">
        <v>33000</v>
      </c>
    </row>
    <row r="31" spans="2:7" s="48" customFormat="1" x14ac:dyDescent="0.25">
      <c r="B31" s="43">
        <v>27</v>
      </c>
      <c r="C31" s="44" t="s">
        <v>707</v>
      </c>
      <c r="D31" s="74" t="s">
        <v>874</v>
      </c>
      <c r="E31" s="44" t="s">
        <v>880</v>
      </c>
      <c r="F31" s="78">
        <v>185000</v>
      </c>
      <c r="G31" s="48" t="s">
        <v>710</v>
      </c>
    </row>
    <row r="32" spans="2:7" s="48" customFormat="1" x14ac:dyDescent="0.25">
      <c r="B32" s="43">
        <v>28</v>
      </c>
      <c r="C32" s="44" t="s">
        <v>711</v>
      </c>
      <c r="D32" s="74" t="s">
        <v>874</v>
      </c>
      <c r="E32" s="44" t="s">
        <v>881</v>
      </c>
      <c r="F32" s="78">
        <v>925000</v>
      </c>
      <c r="G32" s="48" t="s">
        <v>710</v>
      </c>
    </row>
    <row r="33" spans="2:8" s="48" customFormat="1" x14ac:dyDescent="0.25">
      <c r="B33" s="43">
        <v>29</v>
      </c>
      <c r="C33" s="44" t="s">
        <v>405</v>
      </c>
      <c r="D33" s="74" t="s">
        <v>890</v>
      </c>
      <c r="E33" s="44" t="s">
        <v>883</v>
      </c>
      <c r="F33" s="46">
        <v>2500</v>
      </c>
    </row>
    <row r="34" spans="2:8" s="48" customFormat="1" x14ac:dyDescent="0.25">
      <c r="B34" s="43">
        <v>30</v>
      </c>
      <c r="C34" s="44" t="s">
        <v>406</v>
      </c>
      <c r="D34" s="74" t="s">
        <v>890</v>
      </c>
      <c r="E34" s="44" t="s">
        <v>884</v>
      </c>
      <c r="F34" s="46">
        <v>5000</v>
      </c>
    </row>
    <row r="35" spans="2:8" s="48" customFormat="1" x14ac:dyDescent="0.25">
      <c r="B35" s="43">
        <v>31</v>
      </c>
      <c r="C35" s="44" t="s">
        <v>407</v>
      </c>
      <c r="D35" s="74" t="s">
        <v>890</v>
      </c>
      <c r="E35" s="44" t="s">
        <v>885</v>
      </c>
      <c r="F35" s="46">
        <v>10000</v>
      </c>
    </row>
    <row r="36" spans="2:8" s="48" customFormat="1" x14ac:dyDescent="0.25">
      <c r="B36" s="43">
        <v>32</v>
      </c>
      <c r="C36" s="44" t="s">
        <v>408</v>
      </c>
      <c r="D36" s="74" t="s">
        <v>890</v>
      </c>
      <c r="E36" s="44" t="s">
        <v>886</v>
      </c>
      <c r="F36" s="46">
        <v>16000</v>
      </c>
    </row>
    <row r="37" spans="2:8" s="48" customFormat="1" x14ac:dyDescent="0.25">
      <c r="B37" s="43">
        <v>33</v>
      </c>
      <c r="C37" s="44" t="s">
        <v>409</v>
      </c>
      <c r="D37" s="74" t="s">
        <v>890</v>
      </c>
      <c r="E37" s="44" t="s">
        <v>887</v>
      </c>
      <c r="F37" s="46">
        <v>5000</v>
      </c>
    </row>
    <row r="38" spans="2:8" s="48" customFormat="1" x14ac:dyDescent="0.25">
      <c r="B38" s="43">
        <v>34</v>
      </c>
      <c r="C38" s="44" t="s">
        <v>406</v>
      </c>
      <c r="D38" s="74" t="s">
        <v>890</v>
      </c>
      <c r="E38" s="44" t="s">
        <v>884</v>
      </c>
      <c r="F38" s="46">
        <v>5000</v>
      </c>
    </row>
    <row r="39" spans="2:8" s="48" customFormat="1" x14ac:dyDescent="0.25">
      <c r="B39" s="43">
        <v>35</v>
      </c>
      <c r="C39" s="44" t="s">
        <v>697</v>
      </c>
      <c r="D39" s="74" t="s">
        <v>987</v>
      </c>
      <c r="E39" s="44" t="s">
        <v>983</v>
      </c>
      <c r="F39" s="46">
        <v>1441</v>
      </c>
    </row>
    <row r="40" spans="2:8" s="48" customFormat="1" x14ac:dyDescent="0.25">
      <c r="B40" s="43">
        <v>36</v>
      </c>
      <c r="C40" s="44" t="s">
        <v>696</v>
      </c>
      <c r="D40" s="74" t="s">
        <v>987</v>
      </c>
      <c r="E40" s="44" t="s">
        <v>984</v>
      </c>
      <c r="F40" s="46">
        <v>2703</v>
      </c>
    </row>
    <row r="41" spans="2:8" s="48" customFormat="1" x14ac:dyDescent="0.25">
      <c r="B41" s="43">
        <v>37</v>
      </c>
      <c r="C41" s="44" t="s">
        <v>698</v>
      </c>
      <c r="D41" s="74" t="s">
        <v>987</v>
      </c>
      <c r="E41" s="44" t="s">
        <v>985</v>
      </c>
      <c r="F41" s="46">
        <v>5405</v>
      </c>
    </row>
    <row r="42" spans="2:8" s="48" customFormat="1" x14ac:dyDescent="0.25">
      <c r="B42" s="43">
        <v>38</v>
      </c>
      <c r="C42" s="44" t="s">
        <v>600</v>
      </c>
      <c r="D42" s="74" t="s">
        <v>988</v>
      </c>
      <c r="E42" s="44" t="s">
        <v>986</v>
      </c>
      <c r="F42" s="46">
        <v>5000</v>
      </c>
    </row>
    <row r="43" spans="2:8" s="48" customFormat="1" x14ac:dyDescent="0.25">
      <c r="B43" s="43"/>
      <c r="C43" s="44" t="s">
        <v>966</v>
      </c>
      <c r="D43" s="74" t="s">
        <v>17</v>
      </c>
      <c r="E43" s="44" t="str">
        <f>TRIM(MID(D43,FIND("TAPE",D43)+5,100))</f>
        <v>9MM X 19,25M</v>
      </c>
      <c r="F43" s="46">
        <v>2910</v>
      </c>
      <c r="H43" s="81" t="s">
        <v>982</v>
      </c>
    </row>
    <row r="44" spans="2:8" s="48" customFormat="1" x14ac:dyDescent="0.25">
      <c r="B44" s="43"/>
      <c r="C44" s="44" t="s">
        <v>425</v>
      </c>
      <c r="D44" s="74" t="s">
        <v>33</v>
      </c>
      <c r="E44" s="44" t="str">
        <f t="shared" ref="E44:E50" si="0">TRIM(MID(D44,FIND("HOTMELT",D44)+7,100))</f>
        <v>10MM X 150M</v>
      </c>
      <c r="F44" s="46">
        <v>9550</v>
      </c>
    </row>
    <row r="45" spans="2:8" s="48" customFormat="1" x14ac:dyDescent="0.25">
      <c r="B45" s="43"/>
      <c r="C45" s="44" t="s">
        <v>428</v>
      </c>
      <c r="D45" s="74" t="s">
        <v>34</v>
      </c>
      <c r="E45" s="44" t="str">
        <f t="shared" si="0"/>
        <v>12MM X 50M</v>
      </c>
      <c r="F45" s="46">
        <v>3820</v>
      </c>
      <c r="H45" s="81" t="s">
        <v>989</v>
      </c>
    </row>
    <row r="46" spans="2:8" s="48" customFormat="1" x14ac:dyDescent="0.25">
      <c r="B46" s="43"/>
      <c r="C46" s="44" t="s">
        <v>430</v>
      </c>
      <c r="D46" s="75" t="s">
        <v>35</v>
      </c>
      <c r="E46" s="44" t="str">
        <f t="shared" si="0"/>
        <v>48MM X 15Y</v>
      </c>
      <c r="F46" s="46">
        <v>4400</v>
      </c>
    </row>
    <row r="47" spans="2:8" s="48" customFormat="1" x14ac:dyDescent="0.25">
      <c r="B47" s="43"/>
      <c r="C47" s="44" t="s">
        <v>431</v>
      </c>
      <c r="D47" s="75" t="s">
        <v>36</v>
      </c>
      <c r="E47" s="44" t="str">
        <f t="shared" si="0"/>
        <v>24MM X 15Y</v>
      </c>
      <c r="F47" s="46">
        <v>2200</v>
      </c>
    </row>
    <row r="48" spans="2:8" s="48" customFormat="1" x14ac:dyDescent="0.25">
      <c r="B48" s="43"/>
      <c r="C48" s="44" t="s">
        <v>429</v>
      </c>
      <c r="D48" s="75" t="s">
        <v>37</v>
      </c>
      <c r="E48" s="44" t="str">
        <f t="shared" si="0"/>
        <v>12MM X 15Y</v>
      </c>
      <c r="F48" s="46">
        <v>1350</v>
      </c>
    </row>
    <row r="49" spans="2:6" s="48" customFormat="1" x14ac:dyDescent="0.25">
      <c r="B49" s="43"/>
      <c r="C49" s="44" t="s">
        <v>965</v>
      </c>
      <c r="D49" s="75" t="s">
        <v>48</v>
      </c>
      <c r="E49" s="44" t="str">
        <f t="shared" si="0"/>
        <v>24MM X 10M</v>
      </c>
      <c r="F49" s="46">
        <v>2000</v>
      </c>
    </row>
    <row r="50" spans="2:6" s="48" customFormat="1" x14ac:dyDescent="0.25">
      <c r="B50" s="43"/>
      <c r="C50" s="44" t="s">
        <v>443</v>
      </c>
      <c r="D50" s="75" t="s">
        <v>49</v>
      </c>
      <c r="E50" s="44" t="str">
        <f t="shared" si="0"/>
        <v>24MM X 50Y</v>
      </c>
      <c r="F50" s="46">
        <v>8800</v>
      </c>
    </row>
    <row r="51" spans="2:6" s="48" customFormat="1" x14ac:dyDescent="0.25">
      <c r="B51" s="43"/>
      <c r="C51" s="44" t="s">
        <v>777</v>
      </c>
      <c r="D51" s="75" t="s">
        <v>120</v>
      </c>
      <c r="E51" s="44" t="str">
        <f>TRIM(MID(D51,FIND("HOTMELT",D51)+13,100))</f>
        <v>5MM X 10Y</v>
      </c>
      <c r="F51" s="46">
        <v>721</v>
      </c>
    </row>
    <row r="52" spans="2:6" s="48" customFormat="1" x14ac:dyDescent="0.25">
      <c r="B52" s="43"/>
      <c r="C52" s="44" t="s">
        <v>694</v>
      </c>
      <c r="D52" s="75" t="s">
        <v>121</v>
      </c>
      <c r="E52" s="44" t="str">
        <f>TRIM(MID(D52,FIND("HOTMELT",D52)+13,100))</f>
        <v>10MM X 10Y</v>
      </c>
      <c r="F52" s="46">
        <v>1081</v>
      </c>
    </row>
    <row r="53" spans="2:6" s="48" customFormat="1" x14ac:dyDescent="0.25">
      <c r="B53" s="43"/>
      <c r="C53" s="44" t="s">
        <v>693</v>
      </c>
      <c r="D53" s="75" t="s">
        <v>122</v>
      </c>
      <c r="E53" s="44" t="str">
        <f>TRIM(MID(D53,FIND("HOTMELT",D53)+13,100))</f>
        <v>22MM X 10Y</v>
      </c>
      <c r="F53" s="46">
        <v>2072</v>
      </c>
    </row>
    <row r="54" spans="2:6" s="48" customFormat="1" x14ac:dyDescent="0.25">
      <c r="B54" s="43"/>
      <c r="C54" s="44" t="s">
        <v>695</v>
      </c>
      <c r="D54" s="75" t="s">
        <v>123</v>
      </c>
      <c r="E54" s="44" t="str">
        <f>TRIM(MID(D54,FIND("HOTMELT",D54)+13,100))</f>
        <v>46MM X 10Y</v>
      </c>
      <c r="F54" s="46">
        <v>4144</v>
      </c>
    </row>
    <row r="55" spans="2:6" s="48" customFormat="1" x14ac:dyDescent="0.25">
      <c r="B55" s="43"/>
      <c r="C55" s="44" t="s">
        <v>548</v>
      </c>
      <c r="D55" s="75" t="s">
        <v>141</v>
      </c>
      <c r="E55" s="44" t="str">
        <f>TRIM(MID(D55,FIND("HOTMELT",D55)+7,100))</f>
        <v>36MM X 40M</v>
      </c>
      <c r="F55" s="46">
        <v>11000</v>
      </c>
    </row>
    <row r="56" spans="2:6" s="48" customFormat="1" x14ac:dyDescent="0.25">
      <c r="B56" s="43"/>
      <c r="C56" s="44" t="s">
        <v>599</v>
      </c>
      <c r="D56" s="74" t="s">
        <v>207</v>
      </c>
      <c r="E56" s="44" t="str">
        <f>TRIM(MID(D56,FIND("TAPE",D56)+5,100))</f>
        <v>48MM X 8M</v>
      </c>
      <c r="F56" s="46">
        <v>5000</v>
      </c>
    </row>
    <row r="57" spans="2:6" s="48" customFormat="1" x14ac:dyDescent="0.25">
      <c r="B57" s="43"/>
      <c r="C57" s="44" t="s">
        <v>776</v>
      </c>
      <c r="D57" s="74" t="s">
        <v>282</v>
      </c>
      <c r="E57" s="44" t="str">
        <f t="shared" ref="E57:E63" si="1">TRIM(MID(D57,FIND("SOLVENT",D57)+7,100))</f>
        <v>24MM X 8M</v>
      </c>
      <c r="F57" s="46">
        <v>2500</v>
      </c>
    </row>
    <row r="58" spans="2:6" s="48" customFormat="1" x14ac:dyDescent="0.25">
      <c r="B58" s="43"/>
      <c r="C58" s="44" t="s">
        <v>705</v>
      </c>
      <c r="D58" s="74" t="s">
        <v>283</v>
      </c>
      <c r="E58" s="44" t="str">
        <f t="shared" si="1"/>
        <v>1020MM X 50M</v>
      </c>
      <c r="F58" s="46">
        <v>465000</v>
      </c>
    </row>
    <row r="59" spans="2:6" s="48" customFormat="1" x14ac:dyDescent="0.25">
      <c r="B59" s="43"/>
      <c r="C59" s="44" t="s">
        <v>649</v>
      </c>
      <c r="D59" s="74" t="s">
        <v>284</v>
      </c>
      <c r="E59" s="44" t="str">
        <f t="shared" si="1"/>
        <v>12MM X 8M</v>
      </c>
      <c r="F59" s="46">
        <v>1250</v>
      </c>
    </row>
    <row r="60" spans="2:6" s="48" customFormat="1" x14ac:dyDescent="0.25">
      <c r="B60" s="43"/>
      <c r="C60" s="44" t="s">
        <v>653</v>
      </c>
      <c r="D60" s="74" t="s">
        <v>285</v>
      </c>
      <c r="E60" s="44" t="str">
        <f t="shared" si="1"/>
        <v>6MM X 8M</v>
      </c>
      <c r="F60" s="46">
        <v>625</v>
      </c>
    </row>
    <row r="61" spans="2:6" s="48" customFormat="1" x14ac:dyDescent="0.25">
      <c r="B61" s="43"/>
      <c r="C61" s="44" t="s">
        <v>652</v>
      </c>
      <c r="D61" s="74" t="s">
        <v>286</v>
      </c>
      <c r="E61" s="44" t="str">
        <f t="shared" si="1"/>
        <v>1020MM X 20M</v>
      </c>
      <c r="F61" s="46">
        <v>180000</v>
      </c>
    </row>
    <row r="62" spans="2:6" s="48" customFormat="1" x14ac:dyDescent="0.25">
      <c r="B62" s="43"/>
      <c r="C62" s="44" t="s">
        <v>651</v>
      </c>
      <c r="D62" s="74" t="s">
        <v>287</v>
      </c>
      <c r="E62" s="44" t="str">
        <f t="shared" si="1"/>
        <v>48MM X 8M</v>
      </c>
      <c r="F62" s="46">
        <v>5000</v>
      </c>
    </row>
    <row r="63" spans="2:6" s="48" customFormat="1" x14ac:dyDescent="0.25">
      <c r="B63" s="43"/>
      <c r="C63" s="44" t="s">
        <v>650</v>
      </c>
      <c r="D63" s="74" t="s">
        <v>285</v>
      </c>
      <c r="E63" s="44" t="str">
        <f t="shared" si="1"/>
        <v>6MM X 8M</v>
      </c>
      <c r="F63" s="46">
        <v>1300</v>
      </c>
    </row>
    <row r="64" spans="2:6" s="48" customFormat="1" x14ac:dyDescent="0.25">
      <c r="B64" s="43"/>
      <c r="C64" s="44" t="s">
        <v>672</v>
      </c>
      <c r="D64" s="74" t="s">
        <v>311</v>
      </c>
      <c r="E64" s="44" t="str">
        <f>TRIM(MID(D64,FIND("TAPE",D64)+5,100))</f>
        <v>10MM X 10M</v>
      </c>
      <c r="F64" s="46">
        <v>1300</v>
      </c>
    </row>
    <row r="65" spans="2:6" s="48" customFormat="1" x14ac:dyDescent="0.25">
      <c r="B65" s="43"/>
      <c r="C65" s="44" t="s">
        <v>671</v>
      </c>
      <c r="D65" s="74" t="s">
        <v>312</v>
      </c>
      <c r="E65" s="44"/>
      <c r="F65" s="46">
        <v>650</v>
      </c>
    </row>
    <row r="66" spans="2:6" s="48" customFormat="1" x14ac:dyDescent="0.25">
      <c r="B66" s="43"/>
      <c r="C66" s="44"/>
      <c r="D66" s="74"/>
      <c r="E66" s="44"/>
      <c r="F66" s="46"/>
    </row>
    <row r="67" spans="2:6" s="48" customFormat="1" x14ac:dyDescent="0.25">
      <c r="B67" s="43"/>
      <c r="C67" s="44"/>
      <c r="D67" s="74"/>
      <c r="E67" s="44"/>
      <c r="F67" s="46"/>
    </row>
    <row r="68" spans="2:6" s="48" customFormat="1" x14ac:dyDescent="0.25">
      <c r="B68" s="43"/>
      <c r="C68" s="44"/>
      <c r="D68" s="74"/>
      <c r="E68" s="44"/>
      <c r="F68" s="46"/>
    </row>
    <row r="69" spans="2:6" s="48" customFormat="1" x14ac:dyDescent="0.25">
      <c r="B69" s="43"/>
      <c r="C69" s="44"/>
      <c r="D69" s="74"/>
      <c r="E69" s="44"/>
      <c r="F69" s="46"/>
    </row>
    <row r="70" spans="2:6" s="48" customFormat="1" x14ac:dyDescent="0.25">
      <c r="B70" s="43"/>
      <c r="C70" s="44"/>
      <c r="D70" s="74"/>
      <c r="E70" s="44"/>
      <c r="F70" s="46"/>
    </row>
    <row r="71" spans="2:6" s="48" customFormat="1" x14ac:dyDescent="0.25">
      <c r="B71" s="43"/>
      <c r="C71" s="44"/>
      <c r="D71" s="74"/>
      <c r="E71" s="44"/>
      <c r="F71" s="46"/>
    </row>
    <row r="72" spans="2:6" s="48" customFormat="1" x14ac:dyDescent="0.25">
      <c r="B72" s="43"/>
      <c r="C72" s="44"/>
      <c r="D72" s="74"/>
      <c r="E72" s="44"/>
      <c r="F72" s="46"/>
    </row>
    <row r="73" spans="2:6" s="48" customFormat="1" x14ac:dyDescent="0.25">
      <c r="B73" s="43"/>
      <c r="C73" s="44"/>
      <c r="D73" s="74"/>
      <c r="E73" s="44"/>
      <c r="F73" s="46"/>
    </row>
    <row r="74" spans="2:6" s="48" customFormat="1" x14ac:dyDescent="0.25">
      <c r="B74" s="43"/>
      <c r="C74" s="44"/>
      <c r="D74" s="74"/>
      <c r="E74" s="44"/>
      <c r="F74" s="46"/>
    </row>
    <row r="75" spans="2:6" s="48" customFormat="1" x14ac:dyDescent="0.25">
      <c r="B75" s="43"/>
      <c r="C75" s="44"/>
      <c r="D75" s="74"/>
      <c r="E75" s="44"/>
      <c r="F75" s="46"/>
    </row>
    <row r="76" spans="2:6" s="48" customFormat="1" x14ac:dyDescent="0.25">
      <c r="B76" s="43"/>
      <c r="C76" s="44"/>
      <c r="D76" s="74"/>
      <c r="E76" s="44"/>
      <c r="F76" s="46"/>
    </row>
    <row r="77" spans="2:6" s="48" customFormat="1" x14ac:dyDescent="0.25">
      <c r="B77" s="43"/>
      <c r="C77" s="44"/>
      <c r="D77" s="74"/>
      <c r="E77" s="44"/>
      <c r="F77" s="46"/>
    </row>
    <row r="78" spans="2:6" s="48" customFormat="1" x14ac:dyDescent="0.25">
      <c r="B78" s="43"/>
      <c r="C78" s="44"/>
      <c r="D78" s="74"/>
      <c r="E78" s="44"/>
      <c r="F78" s="46"/>
    </row>
    <row r="79" spans="2:6" s="48" customFormat="1" x14ac:dyDescent="0.25">
      <c r="B79" s="43"/>
      <c r="C79" s="44"/>
      <c r="D79" s="74"/>
      <c r="E79" s="44"/>
      <c r="F79" s="46"/>
    </row>
    <row r="80" spans="2:6" s="48" customFormat="1" x14ac:dyDescent="0.25">
      <c r="B80" s="56"/>
      <c r="C80" s="44"/>
      <c r="D80" s="74"/>
      <c r="E80" s="44"/>
      <c r="F80" s="46"/>
    </row>
    <row r="81" spans="2:6" s="48" customFormat="1" x14ac:dyDescent="0.25">
      <c r="B81" s="43"/>
      <c r="C81" s="44"/>
      <c r="D81" s="74"/>
      <c r="E81" s="44"/>
      <c r="F81" s="46"/>
    </row>
    <row r="82" spans="2:6" s="48" customFormat="1" x14ac:dyDescent="0.25">
      <c r="B82" s="43"/>
      <c r="C82" s="44"/>
      <c r="D82" s="74"/>
      <c r="E82" s="44"/>
      <c r="F82" s="46"/>
    </row>
    <row r="83" spans="2:6" s="48" customFormat="1" x14ac:dyDescent="0.25">
      <c r="B83" s="43"/>
      <c r="C83" s="44"/>
      <c r="D83" s="74"/>
      <c r="E83" s="44"/>
      <c r="F83" s="46"/>
    </row>
    <row r="84" spans="2:6" s="48" customFormat="1" x14ac:dyDescent="0.25">
      <c r="B84" s="43"/>
      <c r="C84" s="44"/>
      <c r="D84" s="74"/>
      <c r="E84" s="44"/>
      <c r="F84" s="46"/>
    </row>
    <row r="85" spans="2:6" s="48" customFormat="1" x14ac:dyDescent="0.25">
      <c r="B85" s="43"/>
      <c r="C85" s="44"/>
      <c r="D85" s="74"/>
      <c r="E85" s="44"/>
      <c r="F85" s="46"/>
    </row>
    <row r="86" spans="2:6" s="48" customFormat="1" x14ac:dyDescent="0.25">
      <c r="B86" s="43"/>
      <c r="C86" s="44"/>
      <c r="D86" s="74"/>
      <c r="E86" s="44"/>
      <c r="F86" s="46"/>
    </row>
    <row r="87" spans="2:6" s="48" customFormat="1" x14ac:dyDescent="0.25">
      <c r="B87" s="43"/>
      <c r="C87" s="44"/>
      <c r="D87" s="74"/>
      <c r="E87" s="44"/>
      <c r="F87" s="46"/>
    </row>
    <row r="88" spans="2:6" s="48" customFormat="1" x14ac:dyDescent="0.25">
      <c r="B88" s="43"/>
      <c r="C88" s="44"/>
      <c r="D88" s="74"/>
      <c r="E88" s="44"/>
      <c r="F88" s="46"/>
    </row>
    <row r="89" spans="2:6" s="48" customFormat="1" x14ac:dyDescent="0.25">
      <c r="B89" s="43"/>
      <c r="C89" s="44"/>
      <c r="D89" s="74"/>
      <c r="E89" s="44"/>
      <c r="F89" s="46"/>
    </row>
    <row r="90" spans="2:6" s="48" customFormat="1" x14ac:dyDescent="0.25">
      <c r="B90" s="43"/>
      <c r="C90" s="44"/>
      <c r="D90" s="74"/>
      <c r="E90" s="44"/>
      <c r="F90" s="46"/>
    </row>
    <row r="91" spans="2:6" s="48" customFormat="1" x14ac:dyDescent="0.25">
      <c r="B91" s="43"/>
      <c r="C91" s="44"/>
      <c r="D91" s="74"/>
      <c r="E91" s="44"/>
      <c r="F91" s="46"/>
    </row>
    <row r="92" spans="2:6" s="48" customFormat="1" x14ac:dyDescent="0.25">
      <c r="B92" s="43"/>
      <c r="C92" s="44"/>
      <c r="D92" s="74"/>
      <c r="E92" s="44"/>
      <c r="F92" s="46"/>
    </row>
    <row r="93" spans="2:6" s="48" customFormat="1" x14ac:dyDescent="0.25">
      <c r="B93" s="43"/>
      <c r="C93" s="44"/>
      <c r="D93" s="74"/>
      <c r="E93" s="44"/>
      <c r="F93" s="46"/>
    </row>
    <row r="94" spans="2:6" s="48" customFormat="1" x14ac:dyDescent="0.25">
      <c r="B94" s="43"/>
      <c r="C94" s="44"/>
      <c r="D94" s="74"/>
      <c r="E94" s="44"/>
      <c r="F94" s="46"/>
    </row>
    <row r="95" spans="2:6" s="48" customFormat="1" x14ac:dyDescent="0.25">
      <c r="B95" s="43"/>
      <c r="C95" s="44"/>
      <c r="D95" s="74"/>
      <c r="E95" s="44"/>
      <c r="F95" s="46"/>
    </row>
    <row r="96" spans="2:6" s="48" customFormat="1" x14ac:dyDescent="0.25">
      <c r="B96" s="43"/>
      <c r="C96" s="44"/>
      <c r="D96" s="74"/>
      <c r="E96" s="44"/>
      <c r="F96" s="46"/>
    </row>
    <row r="97" spans="2:6" s="48" customFormat="1" x14ac:dyDescent="0.25">
      <c r="B97" s="43"/>
      <c r="C97" s="44"/>
      <c r="D97" s="74"/>
      <c r="E97" s="44"/>
      <c r="F97" s="46"/>
    </row>
    <row r="98" spans="2:6" s="48" customFormat="1" x14ac:dyDescent="0.25">
      <c r="B98" s="43"/>
      <c r="C98" s="44"/>
      <c r="D98" s="74"/>
      <c r="E98" s="44"/>
      <c r="F98" s="46"/>
    </row>
    <row r="99" spans="2:6" s="48" customFormat="1" x14ac:dyDescent="0.25">
      <c r="B99" s="43"/>
      <c r="C99" s="44"/>
      <c r="D99" s="74"/>
      <c r="E99" s="44"/>
      <c r="F99" s="46"/>
    </row>
    <row r="100" spans="2:6" s="48" customFormat="1" x14ac:dyDescent="0.25">
      <c r="B100" s="43"/>
      <c r="C100" s="44"/>
      <c r="D100" s="74"/>
      <c r="E100" s="44"/>
      <c r="F100" s="46"/>
    </row>
    <row r="101" spans="2:6" s="48" customFormat="1" x14ac:dyDescent="0.25">
      <c r="B101" s="43"/>
      <c r="C101" s="44"/>
      <c r="D101" s="74"/>
      <c r="E101" s="44"/>
      <c r="F101" s="46"/>
    </row>
    <row r="102" spans="2:6" s="48" customFormat="1" x14ac:dyDescent="0.25">
      <c r="B102" s="43"/>
      <c r="C102" s="44"/>
      <c r="D102" s="74"/>
      <c r="E102" s="44"/>
      <c r="F102" s="46"/>
    </row>
    <row r="103" spans="2:6" s="48" customFormat="1" x14ac:dyDescent="0.25">
      <c r="B103" s="43"/>
      <c r="C103" s="44"/>
      <c r="D103" s="74"/>
      <c r="E103" s="44"/>
      <c r="F103" s="46"/>
    </row>
    <row r="104" spans="2:6" s="48" customFormat="1" x14ac:dyDescent="0.25">
      <c r="B104" s="43"/>
      <c r="C104" s="44"/>
      <c r="D104" s="74"/>
      <c r="E104" s="44"/>
      <c r="F104" s="46"/>
    </row>
    <row r="105" spans="2:6" s="48" customFormat="1" x14ac:dyDescent="0.25">
      <c r="B105" s="43"/>
      <c r="C105" s="44"/>
      <c r="D105" s="74"/>
      <c r="E105" s="44"/>
      <c r="F105" s="46"/>
    </row>
    <row r="106" spans="2:6" s="48" customFormat="1" x14ac:dyDescent="0.25">
      <c r="B106" s="43"/>
      <c r="C106" s="44"/>
      <c r="D106" s="74"/>
      <c r="E106" s="44"/>
      <c r="F106" s="46"/>
    </row>
    <row r="107" spans="2:6" s="48" customFormat="1" x14ac:dyDescent="0.25">
      <c r="B107" s="43"/>
      <c r="C107" s="44"/>
      <c r="D107" s="74"/>
      <c r="E107" s="44"/>
      <c r="F107" s="46"/>
    </row>
    <row r="108" spans="2:6" s="48" customFormat="1" x14ac:dyDescent="0.25">
      <c r="B108" s="43"/>
      <c r="C108" s="44"/>
      <c r="D108" s="74"/>
      <c r="E108" s="44"/>
      <c r="F108" s="46"/>
    </row>
    <row r="109" spans="2:6" s="48" customFormat="1" x14ac:dyDescent="0.25">
      <c r="B109" s="43"/>
      <c r="C109" s="44"/>
      <c r="D109" s="74"/>
      <c r="E109" s="44"/>
      <c r="F109" s="46"/>
    </row>
    <row r="110" spans="2:6" s="48" customFormat="1" x14ac:dyDescent="0.25">
      <c r="B110" s="43"/>
      <c r="C110" s="44"/>
      <c r="D110" s="44"/>
      <c r="E110" s="44"/>
      <c r="F110" s="46"/>
    </row>
    <row r="111" spans="2:6" s="48" customFormat="1" x14ac:dyDescent="0.25">
      <c r="B111" s="43"/>
      <c r="C111" s="44"/>
      <c r="D111" s="44"/>
      <c r="E111" s="44"/>
      <c r="F111" s="46"/>
    </row>
    <row r="112" spans="2:6" s="48" customFormat="1" x14ac:dyDescent="0.25">
      <c r="B112" s="43"/>
      <c r="C112" s="44"/>
      <c r="D112" s="44"/>
      <c r="E112" s="44"/>
      <c r="F112" s="46"/>
    </row>
    <row r="113" spans="2:6" x14ac:dyDescent="0.25">
      <c r="B113" s="43"/>
      <c r="C113" s="6"/>
      <c r="D113" s="61"/>
      <c r="E113" s="61"/>
      <c r="F113" s="8"/>
    </row>
    <row r="114" spans="2:6" x14ac:dyDescent="0.25">
      <c r="B114" s="43"/>
      <c r="C114" s="6"/>
      <c r="D114" s="61"/>
      <c r="E114" s="61"/>
      <c r="F114" s="17"/>
    </row>
    <row r="115" spans="2:6" x14ac:dyDescent="0.25">
      <c r="B115" s="43"/>
      <c r="C115" s="6"/>
      <c r="D115" s="61"/>
      <c r="E115" s="61"/>
      <c r="F115" s="8"/>
    </row>
    <row r="116" spans="2:6" x14ac:dyDescent="0.25">
      <c r="B116" s="43"/>
      <c r="C116" s="4"/>
      <c r="D116" s="4"/>
      <c r="E116" s="4"/>
      <c r="F116" s="17"/>
    </row>
    <row r="117" spans="2:6" x14ac:dyDescent="0.25">
      <c r="B117" s="43"/>
      <c r="C117" s="4"/>
      <c r="D117" s="4"/>
      <c r="E117" s="4"/>
      <c r="F117" s="17"/>
    </row>
    <row r="118" spans="2:6" x14ac:dyDescent="0.25">
      <c r="B118" s="43"/>
      <c r="C118" s="4"/>
      <c r="D118" s="4"/>
      <c r="E118" s="4"/>
      <c r="F118" s="17"/>
    </row>
    <row r="119" spans="2:6" x14ac:dyDescent="0.25">
      <c r="B119" s="43"/>
      <c r="C119" s="4"/>
      <c r="D119" s="4"/>
      <c r="E119" s="4"/>
      <c r="F119" s="17"/>
    </row>
    <row r="120" spans="2:6" x14ac:dyDescent="0.25">
      <c r="B120" s="43"/>
      <c r="C120" s="4"/>
      <c r="D120" s="4"/>
      <c r="E120" s="4"/>
      <c r="F120" s="17"/>
    </row>
    <row r="121" spans="2:6" x14ac:dyDescent="0.25">
      <c r="B121" s="43"/>
      <c r="C121" s="4"/>
      <c r="D121" s="4"/>
      <c r="E121" s="4"/>
      <c r="F121" s="17"/>
    </row>
    <row r="122" spans="2:6" x14ac:dyDescent="0.25">
      <c r="B122" s="43"/>
      <c r="C122" s="4"/>
      <c r="D122" s="4"/>
      <c r="E122" s="4"/>
      <c r="F122" s="17"/>
    </row>
    <row r="123" spans="2:6" x14ac:dyDescent="0.25">
      <c r="B123" s="43"/>
      <c r="C123" s="4"/>
      <c r="D123" s="4"/>
      <c r="E123" s="4"/>
      <c r="F123" s="17"/>
    </row>
    <row r="124" spans="2:6" x14ac:dyDescent="0.25">
      <c r="B124" s="43"/>
      <c r="C124" s="66"/>
      <c r="D124" s="4"/>
      <c r="E124" s="4"/>
      <c r="F124" s="17"/>
    </row>
    <row r="125" spans="2:6" x14ac:dyDescent="0.25">
      <c r="B125" s="43"/>
      <c r="C125" s="66"/>
      <c r="D125" s="4"/>
      <c r="E125" s="4"/>
      <c r="F125" s="17"/>
    </row>
    <row r="126" spans="2:6" x14ac:dyDescent="0.25">
      <c r="B126" s="43"/>
      <c r="C126" s="4"/>
      <c r="D126" s="4"/>
      <c r="E126" s="4"/>
      <c r="F126" s="17"/>
    </row>
    <row r="127" spans="2:6" x14ac:dyDescent="0.25">
      <c r="B127" s="43"/>
      <c r="C127" s="4"/>
      <c r="D127" s="4"/>
      <c r="E127" s="4"/>
      <c r="F127" s="15"/>
    </row>
    <row r="128" spans="2:6" x14ac:dyDescent="0.25">
      <c r="B128" s="43"/>
      <c r="C128" s="4"/>
      <c r="D128" s="4"/>
      <c r="E128" s="4"/>
      <c r="F128" s="15"/>
    </row>
    <row r="129" spans="2:6" x14ac:dyDescent="0.25">
      <c r="B129" s="43"/>
      <c r="C129" s="4"/>
      <c r="D129" s="4"/>
      <c r="E129" s="4"/>
      <c r="F129" s="15"/>
    </row>
    <row r="130" spans="2:6" x14ac:dyDescent="0.25">
      <c r="B130" s="43"/>
      <c r="C130" s="4"/>
      <c r="D130" s="4"/>
      <c r="E130" s="4"/>
      <c r="F130" s="15"/>
    </row>
    <row r="131" spans="2:6" x14ac:dyDescent="0.25">
      <c r="B131" s="43"/>
      <c r="C131" s="4"/>
      <c r="D131" s="4"/>
      <c r="E131" s="4"/>
      <c r="F131" s="15"/>
    </row>
    <row r="132" spans="2:6" x14ac:dyDescent="0.25">
      <c r="B132" s="43"/>
      <c r="C132" s="4"/>
      <c r="D132" s="4"/>
      <c r="E132" s="4"/>
      <c r="F132" s="15"/>
    </row>
    <row r="133" spans="2:6" x14ac:dyDescent="0.25">
      <c r="B133" s="43"/>
      <c r="C133" s="4"/>
      <c r="D133" s="4"/>
      <c r="E133" s="4"/>
      <c r="F133" s="15"/>
    </row>
    <row r="134" spans="2:6" x14ac:dyDescent="0.25">
      <c r="B134" s="43"/>
      <c r="C134" s="4"/>
      <c r="D134" s="4"/>
      <c r="E134" s="4"/>
      <c r="F134" s="15"/>
    </row>
    <row r="135" spans="2:6" x14ac:dyDescent="0.25">
      <c r="B135" s="43"/>
      <c r="C135" s="4"/>
      <c r="D135" s="4"/>
      <c r="E135" s="4"/>
      <c r="F135" s="15"/>
    </row>
    <row r="136" spans="2:6" x14ac:dyDescent="0.25">
      <c r="B136" s="43"/>
      <c r="C136" s="4"/>
      <c r="D136" s="4"/>
      <c r="E136" s="4"/>
      <c r="F136" s="15"/>
    </row>
    <row r="137" spans="2:6" x14ac:dyDescent="0.25">
      <c r="B137" s="43"/>
      <c r="C137" s="4"/>
      <c r="D137" s="4"/>
      <c r="E137" s="4"/>
      <c r="F137" s="15"/>
    </row>
    <row r="138" spans="2:6" x14ac:dyDescent="0.25">
      <c r="B138" s="43"/>
      <c r="C138" s="4"/>
      <c r="D138" s="4"/>
      <c r="E138" s="4"/>
      <c r="F138" s="15"/>
    </row>
    <row r="139" spans="2:6" x14ac:dyDescent="0.25">
      <c r="B139" s="43"/>
      <c r="C139" s="33"/>
      <c r="D139" s="33"/>
      <c r="E139" s="33"/>
      <c r="F139" s="35"/>
    </row>
    <row r="140" spans="2:6" x14ac:dyDescent="0.25">
      <c r="B140" s="43"/>
      <c r="C140" s="4"/>
      <c r="D140" s="4"/>
      <c r="E140" s="4"/>
      <c r="F140" s="17"/>
    </row>
    <row r="141" spans="2:6" x14ac:dyDescent="0.25">
      <c r="B141" s="43"/>
      <c r="C141" s="4"/>
      <c r="D141" s="4"/>
      <c r="E141" s="4"/>
      <c r="F141" s="17"/>
    </row>
    <row r="142" spans="2:6" x14ac:dyDescent="0.25">
      <c r="B142" s="43"/>
      <c r="C142" s="4"/>
      <c r="D142" s="4"/>
      <c r="E142" s="4"/>
      <c r="F142" s="17"/>
    </row>
    <row r="143" spans="2:6" x14ac:dyDescent="0.25">
      <c r="B143" s="43"/>
      <c r="C143" s="4"/>
      <c r="D143" s="4"/>
      <c r="E143" s="4"/>
      <c r="F143" s="17"/>
    </row>
    <row r="144" spans="2:6" x14ac:dyDescent="0.25">
      <c r="B144" s="43"/>
      <c r="C144" s="4"/>
      <c r="D144" s="4"/>
      <c r="E144" s="4"/>
      <c r="F144" s="17"/>
    </row>
    <row r="145" spans="2:6" x14ac:dyDescent="0.25">
      <c r="B145" s="43"/>
      <c r="C145" s="4"/>
      <c r="D145" s="4"/>
      <c r="E145" s="4"/>
      <c r="F145" s="17"/>
    </row>
    <row r="146" spans="2:6" x14ac:dyDescent="0.25">
      <c r="B146" s="43"/>
      <c r="C146" s="4"/>
      <c r="D146" s="4"/>
      <c r="E146" s="4"/>
      <c r="F146" s="17"/>
    </row>
    <row r="147" spans="2:6" x14ac:dyDescent="0.25">
      <c r="B147" s="43"/>
      <c r="C147" s="4"/>
      <c r="D147" s="4"/>
      <c r="E147" s="4"/>
      <c r="F147" s="17"/>
    </row>
    <row r="148" spans="2:6" x14ac:dyDescent="0.25">
      <c r="B148" s="43"/>
      <c r="C148" s="4"/>
      <c r="D148" s="4"/>
      <c r="E148" s="4"/>
      <c r="F148" s="17"/>
    </row>
    <row r="149" spans="2:6" x14ac:dyDescent="0.25">
      <c r="B149" s="43"/>
      <c r="C149" s="4"/>
      <c r="D149" s="4"/>
      <c r="E149" s="4"/>
      <c r="F149" s="17"/>
    </row>
    <row r="150" spans="2:6" x14ac:dyDescent="0.25">
      <c r="B150" s="43"/>
      <c r="C150" s="4"/>
      <c r="D150" s="4"/>
      <c r="E150" s="4"/>
      <c r="F150" s="17"/>
    </row>
    <row r="151" spans="2:6" x14ac:dyDescent="0.25">
      <c r="B151" s="43"/>
      <c r="C151" s="4"/>
      <c r="D151" s="4"/>
      <c r="E151" s="4"/>
      <c r="F151" s="17"/>
    </row>
    <row r="152" spans="2:6" x14ac:dyDescent="0.25">
      <c r="B152" s="43"/>
      <c r="C152" s="4"/>
      <c r="D152" s="4"/>
      <c r="E152" s="4"/>
      <c r="F152" s="15"/>
    </row>
    <row r="153" spans="2:6" x14ac:dyDescent="0.25">
      <c r="B153" s="43"/>
      <c r="C153" s="4"/>
      <c r="D153" s="4"/>
      <c r="E153" s="4"/>
      <c r="F153" s="15"/>
    </row>
    <row r="154" spans="2:6" x14ac:dyDescent="0.25">
      <c r="B154" s="43"/>
      <c r="C154" s="4"/>
      <c r="D154" s="4"/>
      <c r="E154" s="4"/>
      <c r="F154" s="15"/>
    </row>
    <row r="155" spans="2:6" x14ac:dyDescent="0.25">
      <c r="B155" s="43"/>
      <c r="C155" s="4"/>
      <c r="D155" s="4"/>
      <c r="E155" s="4"/>
      <c r="F155" s="15"/>
    </row>
    <row r="156" spans="2:6" x14ac:dyDescent="0.25">
      <c r="B156" s="43"/>
      <c r="C156" s="4"/>
      <c r="D156" s="4"/>
      <c r="E156" s="4"/>
      <c r="F156" s="15"/>
    </row>
    <row r="157" spans="2:6" x14ac:dyDescent="0.25">
      <c r="B157" s="43"/>
      <c r="C157" s="4"/>
      <c r="D157" s="4"/>
      <c r="E157" s="4"/>
      <c r="F157" s="15"/>
    </row>
    <row r="158" spans="2:6" x14ac:dyDescent="0.25">
      <c r="B158" s="43"/>
      <c r="C158" s="4"/>
      <c r="D158" s="4"/>
      <c r="E158" s="4"/>
      <c r="F158" s="15"/>
    </row>
    <row r="159" spans="2:6" x14ac:dyDescent="0.25">
      <c r="B159" s="43"/>
      <c r="C159" s="4"/>
      <c r="D159" s="4"/>
      <c r="E159" s="4"/>
      <c r="F159" s="17"/>
    </row>
    <row r="160" spans="2:6" x14ac:dyDescent="0.25">
      <c r="B160" s="43"/>
      <c r="C160" s="4"/>
      <c r="D160" s="4"/>
      <c r="E160" s="4"/>
      <c r="F160" s="17"/>
    </row>
    <row r="161" spans="2:6" x14ac:dyDescent="0.25">
      <c r="B161" s="43"/>
      <c r="C161" s="4"/>
      <c r="D161" s="4"/>
      <c r="E161" s="4"/>
      <c r="F161" s="17"/>
    </row>
    <row r="162" spans="2:6" x14ac:dyDescent="0.25">
      <c r="B162" s="43"/>
      <c r="C162" s="4"/>
      <c r="D162" s="4"/>
      <c r="E162" s="4"/>
      <c r="F162" s="17"/>
    </row>
    <row r="163" spans="2:6" x14ac:dyDescent="0.25">
      <c r="B163" s="43"/>
      <c r="C163" s="4"/>
      <c r="D163" s="4"/>
      <c r="E163" s="4"/>
      <c r="F163" s="17"/>
    </row>
    <row r="164" spans="2:6" x14ac:dyDescent="0.25">
      <c r="B164" s="43"/>
      <c r="C164" s="39"/>
      <c r="D164" s="4"/>
      <c r="E164" s="4"/>
      <c r="F164" s="18"/>
    </row>
    <row r="165" spans="2:6" x14ac:dyDescent="0.25">
      <c r="B165" s="43"/>
      <c r="C165" s="39"/>
      <c r="D165" s="4"/>
      <c r="E165" s="4"/>
      <c r="F165" s="18"/>
    </row>
    <row r="166" spans="2:6" x14ac:dyDescent="0.25">
      <c r="B166" s="43"/>
      <c r="C166" s="39"/>
      <c r="D166" s="4"/>
      <c r="E166" s="4"/>
      <c r="F166" s="18"/>
    </row>
    <row r="167" spans="2:6" x14ac:dyDescent="0.25">
      <c r="B167" s="43"/>
      <c r="C167" s="39"/>
      <c r="D167" s="4"/>
      <c r="E167" s="4"/>
      <c r="F167" s="18"/>
    </row>
    <row r="168" spans="2:6" x14ac:dyDescent="0.25">
      <c r="B168" s="43"/>
      <c r="C168" s="39"/>
      <c r="D168" s="4"/>
      <c r="E168" s="4"/>
      <c r="F168" s="17"/>
    </row>
    <row r="169" spans="2:6" x14ac:dyDescent="0.25">
      <c r="B169" s="43"/>
      <c r="C169" s="4"/>
      <c r="D169" s="4"/>
      <c r="E169" s="4"/>
      <c r="F169" s="17"/>
    </row>
    <row r="170" spans="2:6" x14ac:dyDescent="0.25">
      <c r="B170" s="43"/>
      <c r="C170" s="4"/>
      <c r="D170" s="4"/>
      <c r="E170" s="4"/>
      <c r="F170" s="17"/>
    </row>
    <row r="171" spans="2:6" x14ac:dyDescent="0.25">
      <c r="B171" s="43"/>
      <c r="C171" s="4"/>
      <c r="D171" s="4"/>
      <c r="E171" s="4"/>
      <c r="F171" s="17"/>
    </row>
    <row r="172" spans="2:6" x14ac:dyDescent="0.25">
      <c r="B172" s="43"/>
      <c r="C172" s="4"/>
      <c r="D172" s="4"/>
      <c r="E172" s="4"/>
      <c r="F172" s="17"/>
    </row>
    <row r="173" spans="2:6" x14ac:dyDescent="0.25">
      <c r="B173" s="43"/>
      <c r="C173" s="4"/>
      <c r="D173" s="4"/>
      <c r="E173" s="4"/>
      <c r="F173" s="17"/>
    </row>
    <row r="174" spans="2:6" x14ac:dyDescent="0.25">
      <c r="B174" s="43"/>
      <c r="C174" s="4"/>
      <c r="D174" s="4"/>
      <c r="E174" s="4"/>
      <c r="F174" s="17"/>
    </row>
    <row r="175" spans="2:6" x14ac:dyDescent="0.25">
      <c r="B175" s="43"/>
      <c r="C175" s="4"/>
      <c r="D175" s="4"/>
      <c r="E175" s="4"/>
      <c r="F175" s="17"/>
    </row>
    <row r="176" spans="2:6" x14ac:dyDescent="0.25">
      <c r="B176" s="43"/>
      <c r="C176" s="4"/>
      <c r="D176" s="4"/>
      <c r="E176" s="4"/>
      <c r="F176" s="17"/>
    </row>
    <row r="177" spans="2:6" x14ac:dyDescent="0.25">
      <c r="B177" s="43"/>
      <c r="C177" s="4"/>
      <c r="D177" s="4"/>
      <c r="E177" s="4"/>
      <c r="F177" s="17"/>
    </row>
    <row r="178" spans="2:6" x14ac:dyDescent="0.25">
      <c r="B178" s="43"/>
      <c r="C178" s="4"/>
      <c r="D178" s="4"/>
      <c r="E178" s="4"/>
      <c r="F178" s="17"/>
    </row>
    <row r="179" spans="2:6" x14ac:dyDescent="0.25">
      <c r="B179" s="43"/>
      <c r="C179" s="4"/>
      <c r="D179" s="4"/>
      <c r="E179" s="4"/>
      <c r="F179" s="17"/>
    </row>
    <row r="180" spans="2:6" x14ac:dyDescent="0.25">
      <c r="B180" s="43"/>
      <c r="C180" s="4"/>
      <c r="D180" s="4"/>
      <c r="E180" s="4"/>
      <c r="F180" s="17"/>
    </row>
    <row r="181" spans="2:6" x14ac:dyDescent="0.25">
      <c r="B181" s="43"/>
      <c r="C181" s="4"/>
      <c r="D181" s="4"/>
      <c r="E181" s="4"/>
      <c r="F181" s="17"/>
    </row>
    <row r="182" spans="2:6" s="48" customFormat="1" x14ac:dyDescent="0.25">
      <c r="B182" s="43"/>
      <c r="C182" s="44"/>
      <c r="D182" s="44"/>
      <c r="E182" s="44"/>
      <c r="F182" s="46"/>
    </row>
    <row r="183" spans="2:6" x14ac:dyDescent="0.25">
      <c r="B183" s="43"/>
      <c r="C183" s="4"/>
      <c r="D183" s="4"/>
      <c r="E183" s="4"/>
      <c r="F183" s="17"/>
    </row>
    <row r="184" spans="2:6" x14ac:dyDescent="0.25">
      <c r="B184" s="43"/>
      <c r="C184" s="4"/>
      <c r="D184" s="4"/>
      <c r="E184" s="4"/>
      <c r="F184" s="17"/>
    </row>
    <row r="185" spans="2:6" x14ac:dyDescent="0.25">
      <c r="B185" s="43"/>
      <c r="C185" s="4"/>
      <c r="D185" s="4"/>
      <c r="E185" s="4"/>
      <c r="F185" s="17"/>
    </row>
    <row r="186" spans="2:6" x14ac:dyDescent="0.25">
      <c r="B186" s="43"/>
      <c r="C186" s="4"/>
      <c r="D186" s="4"/>
      <c r="E186" s="4"/>
      <c r="F186" s="17"/>
    </row>
    <row r="187" spans="2:6" x14ac:dyDescent="0.25">
      <c r="B187" s="43"/>
      <c r="C187" s="4"/>
      <c r="D187" s="4"/>
      <c r="E187" s="4"/>
      <c r="F187" s="17"/>
    </row>
    <row r="188" spans="2:6" x14ac:dyDescent="0.25">
      <c r="B188" s="43"/>
      <c r="C188" s="4"/>
      <c r="D188" s="4"/>
      <c r="E188" s="4"/>
      <c r="F188" s="17"/>
    </row>
    <row r="189" spans="2:6" x14ac:dyDescent="0.25">
      <c r="B189" s="43"/>
      <c r="C189" s="4"/>
      <c r="D189" s="4"/>
      <c r="E189" s="4"/>
      <c r="F189" s="17"/>
    </row>
    <row r="190" spans="2:6" x14ac:dyDescent="0.25">
      <c r="B190" s="43"/>
      <c r="C190" s="4"/>
      <c r="D190" s="4"/>
      <c r="E190" s="4"/>
      <c r="F190" s="17"/>
    </row>
    <row r="191" spans="2:6" x14ac:dyDescent="0.25">
      <c r="B191" s="43"/>
      <c r="C191" s="4"/>
      <c r="D191" s="4"/>
      <c r="E191" s="4"/>
      <c r="F191" s="17"/>
    </row>
    <row r="192" spans="2:6" x14ac:dyDescent="0.25">
      <c r="B192" s="43"/>
      <c r="C192" s="4"/>
      <c r="D192" s="4"/>
      <c r="E192" s="4"/>
      <c r="F192" s="17"/>
    </row>
    <row r="193" spans="2:6" x14ac:dyDescent="0.25">
      <c r="B193" s="43"/>
      <c r="C193" s="4"/>
      <c r="D193" s="4"/>
      <c r="E193" s="4"/>
      <c r="F193" s="17"/>
    </row>
    <row r="194" spans="2:6" x14ac:dyDescent="0.25">
      <c r="B194" s="43"/>
      <c r="C194" s="4"/>
      <c r="D194" s="4"/>
      <c r="E194" s="4"/>
      <c r="F194" s="17"/>
    </row>
    <row r="195" spans="2:6" x14ac:dyDescent="0.25">
      <c r="B195" s="43"/>
      <c r="C195" s="4"/>
      <c r="D195" s="4"/>
      <c r="E195" s="4"/>
      <c r="F195" s="17"/>
    </row>
    <row r="196" spans="2:6" x14ac:dyDescent="0.25">
      <c r="B196" s="43"/>
      <c r="C196" s="4"/>
      <c r="D196" s="4"/>
      <c r="E196" s="4"/>
      <c r="F196" s="17"/>
    </row>
    <row r="197" spans="2:6" x14ac:dyDescent="0.25">
      <c r="B197" s="43"/>
      <c r="C197" s="44"/>
      <c r="D197" s="4"/>
      <c r="E197" s="4"/>
      <c r="F197" s="17"/>
    </row>
    <row r="198" spans="2:6" x14ac:dyDescent="0.25">
      <c r="B198" s="43"/>
      <c r="C198" s="39"/>
      <c r="D198" s="4"/>
      <c r="E198" s="4"/>
      <c r="F198" s="17"/>
    </row>
    <row r="199" spans="2:6" x14ac:dyDescent="0.25">
      <c r="B199" s="43"/>
      <c r="C199" s="39"/>
      <c r="D199" s="4"/>
      <c r="E199" s="4"/>
      <c r="F199" s="17"/>
    </row>
    <row r="200" spans="2:6" x14ac:dyDescent="0.25">
      <c r="B200" s="43"/>
      <c r="C200" s="39"/>
      <c r="D200" s="4"/>
      <c r="E200" s="4"/>
      <c r="F200" s="17"/>
    </row>
    <row r="201" spans="2:6" x14ac:dyDescent="0.25">
      <c r="B201" s="43"/>
      <c r="C201" s="4"/>
      <c r="D201" s="4"/>
      <c r="E201" s="4"/>
      <c r="F201" s="17"/>
    </row>
    <row r="202" spans="2:6" x14ac:dyDescent="0.25">
      <c r="B202" s="43"/>
      <c r="C202" s="4"/>
      <c r="D202" s="4"/>
      <c r="E202" s="4"/>
      <c r="F202" s="17"/>
    </row>
    <row r="203" spans="2:6" x14ac:dyDescent="0.25">
      <c r="B203" s="43"/>
      <c r="C203" s="4"/>
      <c r="D203" s="4"/>
      <c r="E203" s="4"/>
      <c r="F203" s="17"/>
    </row>
    <row r="204" spans="2:6" x14ac:dyDescent="0.25">
      <c r="B204" s="43"/>
      <c r="C204" s="4"/>
      <c r="D204" s="4"/>
      <c r="E204" s="4"/>
      <c r="F204" s="17"/>
    </row>
    <row r="205" spans="2:6" x14ac:dyDescent="0.25">
      <c r="B205" s="43"/>
      <c r="C205" s="4"/>
      <c r="D205" s="4"/>
      <c r="E205" s="4"/>
      <c r="F205" s="17"/>
    </row>
    <row r="206" spans="2:6" x14ac:dyDescent="0.25">
      <c r="B206" s="43"/>
      <c r="C206" s="4"/>
      <c r="D206" s="4"/>
      <c r="E206" s="4"/>
      <c r="F206" s="17"/>
    </row>
    <row r="207" spans="2:6" x14ac:dyDescent="0.25">
      <c r="B207" s="43"/>
      <c r="C207" s="4"/>
      <c r="D207" s="4"/>
      <c r="E207" s="4"/>
      <c r="F207" s="17"/>
    </row>
    <row r="208" spans="2:6" x14ac:dyDescent="0.25">
      <c r="B208" s="43"/>
      <c r="C208" s="4"/>
      <c r="D208" s="4"/>
      <c r="E208" s="4"/>
      <c r="F208" s="17"/>
    </row>
    <row r="209" spans="2:6" x14ac:dyDescent="0.25">
      <c r="B209" s="43"/>
      <c r="C209" s="4"/>
      <c r="D209" s="4"/>
      <c r="E209" s="4"/>
      <c r="F209" s="17"/>
    </row>
    <row r="210" spans="2:6" x14ac:dyDescent="0.25">
      <c r="B210" s="43"/>
      <c r="C210" s="4"/>
      <c r="D210" s="4"/>
      <c r="E210" s="4"/>
      <c r="F210" s="17"/>
    </row>
    <row r="211" spans="2:6" x14ac:dyDescent="0.25">
      <c r="B211" s="43"/>
      <c r="C211" s="4"/>
      <c r="D211" s="4"/>
      <c r="E211" s="4"/>
      <c r="F211" s="17"/>
    </row>
    <row r="212" spans="2:6" x14ac:dyDescent="0.25">
      <c r="B212" s="43"/>
      <c r="C212" s="4"/>
      <c r="D212" s="4"/>
      <c r="E212" s="4"/>
      <c r="F212" s="17"/>
    </row>
    <row r="213" spans="2:6" x14ac:dyDescent="0.25">
      <c r="B213" s="43"/>
      <c r="C213" s="4"/>
      <c r="D213" s="4"/>
      <c r="E213" s="4"/>
      <c r="F213" s="17"/>
    </row>
    <row r="214" spans="2:6" x14ac:dyDescent="0.25">
      <c r="B214" s="43"/>
      <c r="C214" s="4"/>
      <c r="D214" s="4"/>
      <c r="E214" s="4"/>
      <c r="F214" s="17"/>
    </row>
    <row r="215" spans="2:6" x14ac:dyDescent="0.25">
      <c r="B215" s="43"/>
      <c r="C215" s="4"/>
      <c r="D215" s="4"/>
      <c r="E215" s="4"/>
      <c r="F215" s="17"/>
    </row>
    <row r="216" spans="2:6" x14ac:dyDescent="0.25">
      <c r="B216" s="43"/>
      <c r="C216" s="4"/>
      <c r="D216" s="4"/>
      <c r="E216" s="4"/>
      <c r="F216" s="17"/>
    </row>
    <row r="217" spans="2:6" x14ac:dyDescent="0.25">
      <c r="B217" s="43"/>
      <c r="C217" s="4"/>
      <c r="D217" s="4"/>
      <c r="E217" s="4"/>
      <c r="F217" s="17"/>
    </row>
    <row r="218" spans="2:6" x14ac:dyDescent="0.25">
      <c r="B218" s="43"/>
      <c r="C218" s="4"/>
      <c r="D218" s="4"/>
      <c r="E218" s="4"/>
      <c r="F218" s="17"/>
    </row>
    <row r="219" spans="2:6" x14ac:dyDescent="0.25">
      <c r="B219" s="43"/>
      <c r="C219" s="4"/>
      <c r="D219" s="4"/>
      <c r="E219" s="4"/>
      <c r="F219" s="17"/>
    </row>
    <row r="220" spans="2:6" x14ac:dyDescent="0.25">
      <c r="B220" s="43"/>
      <c r="C220" s="4"/>
      <c r="D220" s="4"/>
      <c r="E220" s="4"/>
      <c r="F220" s="17"/>
    </row>
    <row r="221" spans="2:6" x14ac:dyDescent="0.25">
      <c r="B221" s="43"/>
      <c r="C221" s="4"/>
      <c r="D221" s="4"/>
      <c r="E221" s="4"/>
      <c r="F221" s="17"/>
    </row>
    <row r="222" spans="2:6" x14ac:dyDescent="0.25">
      <c r="B222" s="43"/>
      <c r="C222" s="4"/>
      <c r="D222" s="69"/>
      <c r="E222" s="69"/>
      <c r="F222" s="12"/>
    </row>
    <row r="223" spans="2:6" x14ac:dyDescent="0.25">
      <c r="B223" s="43"/>
      <c r="C223" s="4"/>
      <c r="D223" s="4"/>
      <c r="E223" s="4"/>
      <c r="F223" s="17"/>
    </row>
    <row r="224" spans="2:6" x14ac:dyDescent="0.25">
      <c r="B224" s="43"/>
      <c r="C224" s="4"/>
      <c r="D224" s="4"/>
      <c r="E224" s="4"/>
      <c r="F224" s="15"/>
    </row>
    <row r="225" spans="2:6" x14ac:dyDescent="0.25">
      <c r="B225" s="43"/>
      <c r="C225" s="4"/>
      <c r="D225" s="4"/>
      <c r="E225" s="4"/>
      <c r="F225" s="17"/>
    </row>
    <row r="226" spans="2:6" x14ac:dyDescent="0.25">
      <c r="B226" s="43"/>
      <c r="C226" s="39"/>
      <c r="D226" s="4"/>
      <c r="E226" s="4"/>
      <c r="F226" s="17"/>
    </row>
    <row r="227" spans="2:6" x14ac:dyDescent="0.25">
      <c r="B227" s="43"/>
      <c r="C227" s="39"/>
      <c r="D227" s="4"/>
      <c r="E227" s="4"/>
      <c r="F227" s="17"/>
    </row>
    <row r="228" spans="2:6" x14ac:dyDescent="0.25">
      <c r="B228" s="43"/>
      <c r="C228" s="39"/>
      <c r="D228" s="4"/>
      <c r="E228" s="4"/>
      <c r="F228" s="17"/>
    </row>
    <row r="229" spans="2:6" x14ac:dyDescent="0.25">
      <c r="B229" s="43"/>
      <c r="C229" s="4"/>
      <c r="D229" s="4"/>
      <c r="E229" s="4"/>
      <c r="F229" s="17"/>
    </row>
    <row r="230" spans="2:6" x14ac:dyDescent="0.25">
      <c r="B230" s="43"/>
      <c r="C230" s="4"/>
      <c r="D230" s="4"/>
      <c r="E230" s="4"/>
      <c r="F230" s="17"/>
    </row>
    <row r="231" spans="2:6" x14ac:dyDescent="0.25">
      <c r="B231" s="43"/>
      <c r="C231" s="4"/>
      <c r="D231" s="4"/>
      <c r="E231" s="4"/>
      <c r="F231" s="17"/>
    </row>
    <row r="232" spans="2:6" x14ac:dyDescent="0.25">
      <c r="B232" s="43"/>
      <c r="C232" s="4"/>
      <c r="D232" s="4"/>
      <c r="E232" s="4"/>
      <c r="F232" s="17"/>
    </row>
    <row r="233" spans="2:6" x14ac:dyDescent="0.25">
      <c r="B233" s="43"/>
      <c r="C233" s="4"/>
      <c r="D233" s="4"/>
      <c r="E233" s="4"/>
      <c r="F233" s="17"/>
    </row>
    <row r="234" spans="2:6" x14ac:dyDescent="0.25">
      <c r="B234" s="43"/>
      <c r="C234" s="4"/>
      <c r="D234" s="4"/>
      <c r="E234" s="4"/>
      <c r="F234" s="17"/>
    </row>
    <row r="235" spans="2:6" x14ac:dyDescent="0.25">
      <c r="B235" s="43"/>
      <c r="C235" s="4"/>
      <c r="D235" s="4"/>
      <c r="E235" s="4"/>
      <c r="F235" s="17"/>
    </row>
    <row r="236" spans="2:6" x14ac:dyDescent="0.25">
      <c r="B236" s="43"/>
      <c r="C236" s="4"/>
      <c r="D236" s="4"/>
      <c r="E236" s="4"/>
      <c r="F236" s="17"/>
    </row>
    <row r="237" spans="2:6" x14ac:dyDescent="0.25">
      <c r="B237" s="43"/>
      <c r="C237" s="4"/>
      <c r="D237" s="4"/>
      <c r="E237" s="4"/>
      <c r="F237" s="17"/>
    </row>
    <row r="238" spans="2:6" x14ac:dyDescent="0.25">
      <c r="B238" s="43"/>
      <c r="C238" s="4"/>
      <c r="D238" s="4"/>
      <c r="E238" s="4"/>
      <c r="F238" s="17"/>
    </row>
    <row r="239" spans="2:6" x14ac:dyDescent="0.25">
      <c r="B239" s="43"/>
      <c r="C239" s="4"/>
      <c r="D239" s="4"/>
      <c r="E239" s="4"/>
      <c r="F239" s="17"/>
    </row>
    <row r="240" spans="2:6" x14ac:dyDescent="0.25">
      <c r="B240" s="43"/>
      <c r="C240" s="4"/>
      <c r="D240" s="4"/>
      <c r="E240" s="4"/>
      <c r="F240" s="17"/>
    </row>
    <row r="241" spans="2:6" x14ac:dyDescent="0.25">
      <c r="B241" s="43"/>
      <c r="C241" s="4"/>
      <c r="D241" s="4"/>
      <c r="E241" s="4"/>
      <c r="F241" s="17"/>
    </row>
    <row r="242" spans="2:6" x14ac:dyDescent="0.25">
      <c r="B242" s="43"/>
      <c r="C242" s="4"/>
      <c r="D242" s="4"/>
      <c r="E242" s="4"/>
      <c r="F242" s="17"/>
    </row>
    <row r="243" spans="2:6" x14ac:dyDescent="0.25">
      <c r="B243" s="43"/>
      <c r="C243" s="4"/>
      <c r="D243" s="4"/>
      <c r="E243" s="4"/>
      <c r="F243" s="17"/>
    </row>
    <row r="244" spans="2:6" x14ac:dyDescent="0.25">
      <c r="B244" s="43"/>
      <c r="C244" s="4"/>
      <c r="D244" s="4"/>
      <c r="E244" s="4"/>
      <c r="F244" s="17"/>
    </row>
    <row r="245" spans="2:6" x14ac:dyDescent="0.25">
      <c r="B245" s="43"/>
      <c r="C245" s="4"/>
      <c r="D245" s="4"/>
      <c r="E245" s="4"/>
      <c r="F245" s="17"/>
    </row>
    <row r="246" spans="2:6" x14ac:dyDescent="0.25">
      <c r="B246" s="43"/>
      <c r="C246" s="4"/>
      <c r="D246" s="4"/>
      <c r="E246" s="4"/>
      <c r="F246" s="17"/>
    </row>
    <row r="247" spans="2:6" x14ac:dyDescent="0.25">
      <c r="B247" s="43"/>
      <c r="C247" s="4"/>
      <c r="D247" s="4"/>
      <c r="E247" s="4"/>
      <c r="F247" s="17"/>
    </row>
    <row r="248" spans="2:6" x14ac:dyDescent="0.25">
      <c r="B248" s="43"/>
      <c r="C248" s="4"/>
      <c r="D248" s="4"/>
      <c r="E248" s="4"/>
      <c r="F248" s="17"/>
    </row>
    <row r="249" spans="2:6" x14ac:dyDescent="0.25">
      <c r="B249" s="43"/>
      <c r="C249" s="4"/>
      <c r="D249" s="4"/>
      <c r="E249" s="4"/>
      <c r="F249" s="17"/>
    </row>
    <row r="250" spans="2:6" x14ac:dyDescent="0.25">
      <c r="B250" s="43"/>
      <c r="C250" s="4"/>
      <c r="D250" s="4"/>
      <c r="E250" s="4"/>
      <c r="F250" s="17"/>
    </row>
    <row r="251" spans="2:6" x14ac:dyDescent="0.25">
      <c r="B251" s="43"/>
      <c r="C251" s="4"/>
      <c r="D251" s="4"/>
      <c r="E251" s="4"/>
      <c r="F251" s="17"/>
    </row>
    <row r="252" spans="2:6" x14ac:dyDescent="0.25">
      <c r="B252" s="43"/>
      <c r="C252" s="4"/>
      <c r="D252" s="4"/>
      <c r="E252" s="4"/>
      <c r="F252" s="17"/>
    </row>
    <row r="253" spans="2:6" x14ac:dyDescent="0.25">
      <c r="B253" s="43"/>
      <c r="C253" s="39"/>
      <c r="D253" s="4"/>
      <c r="E253" s="4"/>
      <c r="F253" s="17"/>
    </row>
    <row r="254" spans="2:6" x14ac:dyDescent="0.25">
      <c r="B254" s="43"/>
      <c r="C254" s="39"/>
      <c r="D254" s="4"/>
      <c r="E254" s="4"/>
      <c r="F254" s="17"/>
    </row>
    <row r="255" spans="2:6" x14ac:dyDescent="0.25">
      <c r="B255" s="43"/>
      <c r="C255" s="4"/>
      <c r="D255" s="4"/>
      <c r="E255" s="4"/>
      <c r="F255" s="17"/>
    </row>
    <row r="256" spans="2:6" x14ac:dyDescent="0.25">
      <c r="B256" s="43"/>
      <c r="C256" s="4"/>
      <c r="D256" s="4"/>
      <c r="E256" s="4"/>
      <c r="F256" s="17"/>
    </row>
    <row r="257" spans="2:6" x14ac:dyDescent="0.25">
      <c r="B257" s="43"/>
      <c r="C257" s="4"/>
      <c r="D257" s="4"/>
      <c r="E257" s="4"/>
      <c r="F257" s="17"/>
    </row>
    <row r="258" spans="2:6" x14ac:dyDescent="0.25">
      <c r="B258" s="43"/>
      <c r="C258" s="4"/>
      <c r="D258" s="4"/>
      <c r="E258" s="4"/>
      <c r="F258" s="17"/>
    </row>
    <row r="259" spans="2:6" x14ac:dyDescent="0.25">
      <c r="B259" s="43"/>
      <c r="C259" s="4"/>
      <c r="D259" s="4"/>
      <c r="E259" s="4"/>
      <c r="F259" s="17"/>
    </row>
    <row r="260" spans="2:6" x14ac:dyDescent="0.25">
      <c r="B260" s="43"/>
      <c r="C260" s="4"/>
      <c r="D260" s="4"/>
      <c r="E260" s="4"/>
      <c r="F260" s="17"/>
    </row>
    <row r="261" spans="2:6" x14ac:dyDescent="0.25">
      <c r="B261" s="43"/>
      <c r="C261" s="4"/>
      <c r="D261" s="4"/>
      <c r="E261" s="4"/>
      <c r="F261" s="17"/>
    </row>
    <row r="262" spans="2:6" x14ac:dyDescent="0.25">
      <c r="B262" s="43"/>
      <c r="C262" s="4"/>
      <c r="D262" s="4"/>
      <c r="E262" s="4"/>
      <c r="F262" s="17"/>
    </row>
    <row r="263" spans="2:6" x14ac:dyDescent="0.25">
      <c r="B263" s="43"/>
      <c r="C263" s="4"/>
      <c r="D263" s="4"/>
      <c r="E263" s="4"/>
      <c r="F263" s="17"/>
    </row>
    <row r="264" spans="2:6" x14ac:dyDescent="0.25">
      <c r="B264" s="43"/>
      <c r="C264" s="4"/>
      <c r="D264" s="4"/>
      <c r="E264" s="4"/>
      <c r="F264" s="17"/>
    </row>
    <row r="265" spans="2:6" x14ac:dyDescent="0.25">
      <c r="B265" s="43"/>
      <c r="C265" s="4"/>
      <c r="D265" s="4"/>
      <c r="E265" s="4"/>
      <c r="F265" s="17"/>
    </row>
    <row r="266" spans="2:6" x14ac:dyDescent="0.25">
      <c r="B266" s="43"/>
      <c r="C266" s="4"/>
      <c r="D266" s="4"/>
      <c r="E266" s="4"/>
      <c r="F266" s="17"/>
    </row>
    <row r="267" spans="2:6" x14ac:dyDescent="0.25">
      <c r="B267" s="43"/>
      <c r="C267" s="4"/>
      <c r="D267" s="4"/>
      <c r="E267" s="4"/>
      <c r="F267" s="17"/>
    </row>
    <row r="268" spans="2:6" x14ac:dyDescent="0.25">
      <c r="B268" s="43"/>
      <c r="C268" s="4"/>
      <c r="D268" s="4"/>
      <c r="E268" s="4"/>
      <c r="F268" s="17"/>
    </row>
    <row r="269" spans="2:6" x14ac:dyDescent="0.25">
      <c r="B269" s="43"/>
      <c r="C269" s="4"/>
      <c r="D269" s="4"/>
      <c r="E269" s="4"/>
      <c r="F269" s="17"/>
    </row>
    <row r="270" spans="2:6" x14ac:dyDescent="0.25">
      <c r="B270" s="43"/>
      <c r="C270" s="4"/>
      <c r="D270" s="4"/>
      <c r="E270" s="4"/>
      <c r="F270" s="17"/>
    </row>
    <row r="271" spans="2:6" x14ac:dyDescent="0.25">
      <c r="B271" s="43"/>
      <c r="C271" s="4"/>
      <c r="D271" s="4"/>
      <c r="E271" s="4"/>
      <c r="F271" s="17"/>
    </row>
    <row r="272" spans="2:6" x14ac:dyDescent="0.25">
      <c r="B272" s="43"/>
      <c r="C272" s="4"/>
      <c r="D272" s="4"/>
      <c r="E272" s="4"/>
      <c r="F272" s="17"/>
    </row>
    <row r="273" spans="2:6" x14ac:dyDescent="0.25">
      <c r="B273" s="43"/>
      <c r="C273" s="4"/>
      <c r="D273" s="4"/>
      <c r="E273" s="4"/>
      <c r="F273" s="17"/>
    </row>
    <row r="274" spans="2:6" x14ac:dyDescent="0.25">
      <c r="B274" s="43"/>
      <c r="C274" s="4"/>
      <c r="D274" s="4"/>
      <c r="E274" s="4"/>
      <c r="F274" s="17"/>
    </row>
    <row r="275" spans="2:6" x14ac:dyDescent="0.25">
      <c r="B275" s="43"/>
      <c r="C275" s="4"/>
      <c r="D275" s="4"/>
      <c r="E275" s="4"/>
      <c r="F275" s="17"/>
    </row>
    <row r="276" spans="2:6" x14ac:dyDescent="0.25">
      <c r="B276" s="43"/>
      <c r="C276" s="4"/>
      <c r="D276" s="4"/>
      <c r="E276" s="4"/>
      <c r="F276" s="17"/>
    </row>
    <row r="277" spans="2:6" x14ac:dyDescent="0.25">
      <c r="B277" s="43"/>
      <c r="C277" s="4"/>
      <c r="D277" s="4"/>
      <c r="E277" s="4"/>
      <c r="F277" s="17"/>
    </row>
    <row r="278" spans="2:6" x14ac:dyDescent="0.25">
      <c r="B278" s="43"/>
      <c r="C278" s="4"/>
      <c r="D278" s="4"/>
      <c r="E278" s="4"/>
      <c r="F278" s="17"/>
    </row>
    <row r="279" spans="2:6" x14ac:dyDescent="0.25">
      <c r="B279" s="43"/>
      <c r="C279" s="4"/>
      <c r="D279" s="4"/>
      <c r="E279" s="4"/>
      <c r="F279" s="17"/>
    </row>
    <row r="280" spans="2:6" x14ac:dyDescent="0.25">
      <c r="B280" s="43"/>
      <c r="C280" s="39"/>
      <c r="D280" s="4"/>
      <c r="E280" s="4"/>
      <c r="F280" s="17"/>
    </row>
    <row r="281" spans="2:6" x14ac:dyDescent="0.25">
      <c r="B281" s="43"/>
      <c r="C281" s="4"/>
      <c r="D281" s="4"/>
      <c r="E281" s="4"/>
      <c r="F281" s="17"/>
    </row>
    <row r="282" spans="2:6" x14ac:dyDescent="0.25">
      <c r="B282" s="43"/>
      <c r="C282" s="4"/>
      <c r="D282" s="4"/>
      <c r="E282" s="4"/>
      <c r="F282" s="17"/>
    </row>
    <row r="283" spans="2:6" x14ac:dyDescent="0.25">
      <c r="B283" s="43"/>
      <c r="C283" s="4"/>
      <c r="D283" s="4"/>
      <c r="E283" s="4"/>
      <c r="F283" s="17"/>
    </row>
    <row r="284" spans="2:6" x14ac:dyDescent="0.25">
      <c r="B284" s="43"/>
      <c r="C284" s="4"/>
      <c r="D284" s="4"/>
      <c r="E284" s="4"/>
      <c r="F284" s="17"/>
    </row>
    <row r="285" spans="2:6" x14ac:dyDescent="0.25">
      <c r="B285" s="43"/>
      <c r="C285" s="4"/>
      <c r="D285" s="4"/>
      <c r="E285" s="4"/>
      <c r="F285" s="17"/>
    </row>
    <row r="286" spans="2:6" x14ac:dyDescent="0.25">
      <c r="B286" s="43"/>
      <c r="C286" s="4"/>
      <c r="D286" s="4"/>
      <c r="E286" s="4"/>
      <c r="F286" s="17"/>
    </row>
    <row r="287" spans="2:6" x14ac:dyDescent="0.25">
      <c r="B287" s="43"/>
      <c r="C287" s="4"/>
      <c r="D287" s="4"/>
      <c r="E287" s="4"/>
      <c r="F287" s="17"/>
    </row>
    <row r="288" spans="2:6" x14ac:dyDescent="0.25">
      <c r="B288" s="43"/>
      <c r="C288" s="4"/>
      <c r="D288" s="4"/>
      <c r="E288" s="4"/>
      <c r="F288" s="17"/>
    </row>
    <row r="289" spans="2:6" x14ac:dyDescent="0.25">
      <c r="B289" s="43"/>
      <c r="C289" s="4"/>
      <c r="D289" s="4"/>
      <c r="E289" s="4"/>
      <c r="F289" s="17"/>
    </row>
    <row r="290" spans="2:6" x14ac:dyDescent="0.25">
      <c r="B290" s="43"/>
      <c r="C290" s="4"/>
      <c r="D290" s="4"/>
      <c r="E290" s="4"/>
      <c r="F290" s="17"/>
    </row>
    <row r="291" spans="2:6" x14ac:dyDescent="0.25">
      <c r="B291" s="43"/>
      <c r="C291" s="39"/>
      <c r="D291" s="4"/>
      <c r="E291" s="4"/>
      <c r="F291" s="17"/>
    </row>
    <row r="292" spans="2:6" x14ac:dyDescent="0.25">
      <c r="B292" s="43"/>
      <c r="C292" s="4"/>
      <c r="D292" s="4"/>
      <c r="E292" s="4"/>
      <c r="F292" s="17"/>
    </row>
    <row r="293" spans="2:6" x14ac:dyDescent="0.25">
      <c r="B293" s="43"/>
      <c r="C293" s="39"/>
      <c r="D293" s="4"/>
      <c r="E293" s="4"/>
      <c r="F293" s="17"/>
    </row>
    <row r="294" spans="2:6" x14ac:dyDescent="0.25">
      <c r="B294" s="43"/>
      <c r="C294" s="39"/>
      <c r="D294" s="4"/>
      <c r="E294" s="4"/>
      <c r="F294" s="17"/>
    </row>
    <row r="295" spans="2:6" x14ac:dyDescent="0.25">
      <c r="B295" s="43"/>
      <c r="C295" s="39"/>
      <c r="D295" s="4"/>
      <c r="E295" s="4"/>
      <c r="F295" s="17"/>
    </row>
    <row r="296" spans="2:6" x14ac:dyDescent="0.25">
      <c r="B296" s="43"/>
      <c r="C296" s="4"/>
      <c r="D296" s="4"/>
      <c r="E296" s="4"/>
      <c r="F296" s="17"/>
    </row>
    <row r="297" spans="2:6" x14ac:dyDescent="0.25">
      <c r="B297" s="43"/>
      <c r="C297" s="4"/>
      <c r="D297" s="4"/>
      <c r="E297" s="4"/>
      <c r="F297" s="17"/>
    </row>
    <row r="298" spans="2:6" x14ac:dyDescent="0.25">
      <c r="B298" s="43"/>
      <c r="C298" s="39"/>
      <c r="D298" s="4"/>
      <c r="E298" s="4"/>
      <c r="F298" s="17"/>
    </row>
    <row r="299" spans="2:6" x14ac:dyDescent="0.25">
      <c r="B299" s="43"/>
      <c r="C299" s="4"/>
      <c r="D299" s="4"/>
      <c r="E299" s="4"/>
      <c r="F299" s="17"/>
    </row>
    <row r="300" spans="2:6" x14ac:dyDescent="0.25">
      <c r="B300" s="43"/>
      <c r="C300" s="4"/>
      <c r="D300" s="4"/>
      <c r="E300" s="4"/>
      <c r="F300" s="17"/>
    </row>
    <row r="301" spans="2:6" x14ac:dyDescent="0.25">
      <c r="B301" s="43"/>
      <c r="C301" s="13"/>
      <c r="D301" s="4"/>
      <c r="E301" s="4"/>
      <c r="F301" s="17"/>
    </row>
    <row r="302" spans="2:6" x14ac:dyDescent="0.25">
      <c r="B302" s="43"/>
      <c r="C302" s="13"/>
      <c r="D302" s="4"/>
      <c r="E302" s="4"/>
      <c r="F302" s="17"/>
    </row>
    <row r="303" spans="2:6" x14ac:dyDescent="0.25">
      <c r="B303" s="43"/>
      <c r="C303" s="13"/>
      <c r="D303" s="4"/>
      <c r="E303" s="4"/>
      <c r="F303" s="17"/>
    </row>
    <row r="304" spans="2:6" x14ac:dyDescent="0.25">
      <c r="B304" s="43"/>
      <c r="C304" s="13"/>
      <c r="D304" s="4"/>
      <c r="E304" s="4"/>
      <c r="F304" s="17"/>
    </row>
    <row r="305" spans="2:6" x14ac:dyDescent="0.25">
      <c r="B305" s="43"/>
      <c r="C305" s="4"/>
      <c r="D305" s="4"/>
      <c r="E305" s="4"/>
      <c r="F305" s="17"/>
    </row>
    <row r="306" spans="2:6" x14ac:dyDescent="0.25">
      <c r="B306" s="43"/>
      <c r="C306" s="4"/>
      <c r="D306" s="4"/>
      <c r="E306" s="4"/>
      <c r="F306" s="17"/>
    </row>
    <row r="307" spans="2:6" x14ac:dyDescent="0.25">
      <c r="B307" s="43"/>
      <c r="C307" s="4"/>
      <c r="D307" s="4"/>
      <c r="E307" s="4"/>
      <c r="F307" s="17"/>
    </row>
    <row r="308" spans="2:6" x14ac:dyDescent="0.25">
      <c r="B308" s="43"/>
      <c r="C308" s="4"/>
      <c r="D308" s="4"/>
      <c r="E308" s="4"/>
      <c r="F308" s="17"/>
    </row>
    <row r="309" spans="2:6" x14ac:dyDescent="0.25">
      <c r="B309" s="43"/>
      <c r="C309" s="4"/>
      <c r="D309" s="4"/>
      <c r="E309" s="4"/>
      <c r="F309" s="17"/>
    </row>
    <row r="310" spans="2:6" x14ac:dyDescent="0.25">
      <c r="B310" s="43"/>
      <c r="C310" s="4"/>
      <c r="D310" s="4"/>
      <c r="E310" s="4"/>
      <c r="F310" s="17"/>
    </row>
    <row r="311" spans="2:6" x14ac:dyDescent="0.25">
      <c r="B311" s="43"/>
      <c r="C311" s="4"/>
      <c r="D311" s="4"/>
      <c r="E311" s="4"/>
      <c r="F311" s="17"/>
    </row>
    <row r="312" spans="2:6" x14ac:dyDescent="0.25">
      <c r="B312" s="43"/>
      <c r="C312" s="4"/>
      <c r="D312" s="4"/>
      <c r="E312" s="4"/>
      <c r="F312" s="17"/>
    </row>
    <row r="313" spans="2:6" x14ac:dyDescent="0.25">
      <c r="B313" s="43"/>
      <c r="C313" s="4"/>
      <c r="D313" s="4"/>
      <c r="E313" s="4"/>
      <c r="F313" s="17"/>
    </row>
    <row r="314" spans="2:6" x14ac:dyDescent="0.25">
      <c r="B314" s="43"/>
      <c r="C314" s="44"/>
      <c r="D314" s="4"/>
      <c r="E314" s="4"/>
      <c r="F314" s="17"/>
    </row>
    <row r="315" spans="2:6" x14ac:dyDescent="0.25">
      <c r="B315" s="43"/>
      <c r="C315" s="4"/>
      <c r="D315" s="4"/>
      <c r="E315" s="4"/>
      <c r="F315" s="17"/>
    </row>
    <row r="316" spans="2:6" x14ac:dyDescent="0.25">
      <c r="B316" s="43"/>
      <c r="C316" s="4"/>
      <c r="D316" s="4"/>
      <c r="E316" s="4"/>
      <c r="F316" s="17"/>
    </row>
    <row r="317" spans="2:6" x14ac:dyDescent="0.25">
      <c r="B317" s="43"/>
      <c r="C317" s="4"/>
      <c r="D317" s="4"/>
      <c r="E317" s="4"/>
      <c r="F317" s="17"/>
    </row>
    <row r="318" spans="2:6" x14ac:dyDescent="0.25">
      <c r="B318" s="43"/>
      <c r="C318" s="4"/>
      <c r="D318" s="4"/>
      <c r="E318" s="4"/>
      <c r="F318" s="17"/>
    </row>
    <row r="319" spans="2:6" x14ac:dyDescent="0.25">
      <c r="B319" s="43"/>
      <c r="C319" s="4"/>
      <c r="D319" s="4"/>
      <c r="E319" s="4"/>
      <c r="F319" s="17"/>
    </row>
    <row r="320" spans="2:6" x14ac:dyDescent="0.25">
      <c r="B320" s="43"/>
      <c r="C320" s="4"/>
      <c r="D320" s="4"/>
      <c r="E320" s="4"/>
      <c r="F320" s="17"/>
    </row>
    <row r="321" spans="2:6" x14ac:dyDescent="0.25">
      <c r="B321" s="43"/>
      <c r="C321" s="4"/>
      <c r="D321" s="4"/>
      <c r="E321" s="4"/>
      <c r="F321" s="17"/>
    </row>
    <row r="322" spans="2:6" x14ac:dyDescent="0.25">
      <c r="B322" s="43"/>
      <c r="C322" s="4"/>
      <c r="D322" s="4"/>
      <c r="E322" s="4"/>
      <c r="F322" s="17"/>
    </row>
    <row r="323" spans="2:6" x14ac:dyDescent="0.25">
      <c r="B323" s="43"/>
      <c r="C323" s="13"/>
      <c r="D323" s="4"/>
      <c r="E323" s="4"/>
      <c r="F323" s="17"/>
    </row>
    <row r="324" spans="2:6" x14ac:dyDescent="0.25">
      <c r="B324" s="43"/>
      <c r="C324" s="39"/>
      <c r="D324" s="4"/>
      <c r="E324" s="4"/>
      <c r="F324" s="17"/>
    </row>
    <row r="325" spans="2:6" x14ac:dyDescent="0.25">
      <c r="B325" s="43"/>
      <c r="C325" s="39"/>
      <c r="D325" s="4"/>
      <c r="E325" s="4"/>
      <c r="F325" s="17"/>
    </row>
    <row r="326" spans="2:6" x14ac:dyDescent="0.25">
      <c r="B326" s="43"/>
      <c r="C326" s="39"/>
      <c r="D326" s="4"/>
      <c r="E326" s="4"/>
      <c r="F326" s="17"/>
    </row>
    <row r="327" spans="2:6" x14ac:dyDescent="0.25">
      <c r="B327" s="43"/>
      <c r="C327" s="44"/>
      <c r="D327" s="4"/>
      <c r="E327" s="4"/>
      <c r="F327" s="17"/>
    </row>
    <row r="328" spans="2:6" x14ac:dyDescent="0.25">
      <c r="B328" s="43"/>
      <c r="C328" s="44"/>
      <c r="D328" s="4"/>
      <c r="E328" s="4"/>
      <c r="F328" s="17"/>
    </row>
    <row r="329" spans="2:6" x14ac:dyDescent="0.25">
      <c r="B329" s="43"/>
      <c r="C329" s="4"/>
      <c r="D329" s="4"/>
      <c r="E329" s="4"/>
      <c r="F329" s="17"/>
    </row>
    <row r="330" spans="2:6" x14ac:dyDescent="0.25">
      <c r="B330" s="43"/>
      <c r="C330" s="4"/>
      <c r="D330" s="4"/>
      <c r="E330" s="4"/>
      <c r="F330" s="17"/>
    </row>
    <row r="331" spans="2:6" x14ac:dyDescent="0.25">
      <c r="B331" s="43"/>
      <c r="C331" s="44"/>
      <c r="D331" s="4"/>
      <c r="E331" s="4"/>
      <c r="F331" s="17"/>
    </row>
    <row r="332" spans="2:6" x14ac:dyDescent="0.25">
      <c r="B332" s="43"/>
      <c r="C332" s="44"/>
      <c r="D332" s="4"/>
      <c r="E332" s="4"/>
      <c r="F332" s="17"/>
    </row>
    <row r="333" spans="2:6" x14ac:dyDescent="0.25">
      <c r="B333" s="43"/>
      <c r="C333" s="4"/>
      <c r="D333" s="70"/>
      <c r="E333" s="70"/>
      <c r="F333" s="17"/>
    </row>
    <row r="334" spans="2:6" x14ac:dyDescent="0.25">
      <c r="B334" s="43"/>
      <c r="C334" s="4"/>
      <c r="D334" s="4"/>
      <c r="E334" s="4"/>
      <c r="F334" s="17"/>
    </row>
    <row r="335" spans="2:6" x14ac:dyDescent="0.25">
      <c r="B335" s="43"/>
      <c r="C335" s="4"/>
      <c r="D335" s="4"/>
      <c r="E335" s="4"/>
      <c r="F335" s="17"/>
    </row>
    <row r="336" spans="2:6" x14ac:dyDescent="0.25">
      <c r="B336" s="43"/>
      <c r="C336" s="4"/>
      <c r="D336" s="4"/>
      <c r="E336" s="4"/>
      <c r="F336" s="17"/>
    </row>
    <row r="337" spans="2:6" x14ac:dyDescent="0.25">
      <c r="B337" s="43"/>
      <c r="C337" s="4"/>
      <c r="D337" s="4"/>
      <c r="E337" s="4"/>
      <c r="F337" s="17"/>
    </row>
    <row r="338" spans="2:6" x14ac:dyDescent="0.25">
      <c r="B338" s="43"/>
      <c r="C338" s="4"/>
      <c r="D338" s="4"/>
      <c r="E338" s="4"/>
      <c r="F338" s="17"/>
    </row>
    <row r="339" spans="2:6" x14ac:dyDescent="0.25">
      <c r="B339" s="43"/>
      <c r="C339" s="4"/>
      <c r="D339" s="4"/>
      <c r="E339" s="4"/>
      <c r="F339" s="17"/>
    </row>
    <row r="340" spans="2:6" x14ac:dyDescent="0.25">
      <c r="B340" s="43"/>
      <c r="C340" s="4"/>
      <c r="D340" s="4"/>
      <c r="E340" s="4"/>
      <c r="F340" s="17"/>
    </row>
    <row r="341" spans="2:6" x14ac:dyDescent="0.25">
      <c r="B341" s="43"/>
      <c r="C341" s="39"/>
      <c r="D341" s="4"/>
      <c r="E341" s="4"/>
      <c r="F341" s="17"/>
    </row>
    <row r="342" spans="2:6" x14ac:dyDescent="0.25">
      <c r="B342" s="43"/>
      <c r="C342" s="39"/>
      <c r="D342" s="4"/>
      <c r="E342" s="4"/>
      <c r="F342" s="17"/>
    </row>
    <row r="343" spans="2:6" x14ac:dyDescent="0.25">
      <c r="B343" s="43"/>
      <c r="C343" s="39"/>
      <c r="D343" s="4"/>
      <c r="E343" s="4"/>
      <c r="F343" s="17"/>
    </row>
    <row r="344" spans="2:6" x14ac:dyDescent="0.25">
      <c r="B344" s="43"/>
      <c r="C344" s="4"/>
      <c r="D344" s="4"/>
      <c r="E344" s="4"/>
      <c r="F344" s="15"/>
    </row>
    <row r="345" spans="2:6" x14ac:dyDescent="0.25">
      <c r="B345" s="43"/>
      <c r="C345" s="4"/>
      <c r="D345" s="4"/>
      <c r="E345" s="4"/>
      <c r="F345" s="15"/>
    </row>
    <row r="346" spans="2:6" x14ac:dyDescent="0.25">
      <c r="B346" s="43"/>
      <c r="C346" s="4"/>
      <c r="D346" s="4"/>
      <c r="E346" s="4"/>
      <c r="F346" s="15"/>
    </row>
    <row r="347" spans="2:6" x14ac:dyDescent="0.25">
      <c r="B347" s="43"/>
      <c r="C347" s="4"/>
      <c r="D347" s="4"/>
      <c r="E347" s="4"/>
      <c r="F347" s="17"/>
    </row>
    <row r="348" spans="2:6" x14ac:dyDescent="0.25">
      <c r="B348" s="43"/>
      <c r="C348" s="4"/>
      <c r="D348" s="4"/>
      <c r="E348" s="4"/>
      <c r="F348" s="17"/>
    </row>
    <row r="349" spans="2:6" x14ac:dyDescent="0.25">
      <c r="B349" s="43"/>
      <c r="C349" s="4"/>
      <c r="D349" s="4"/>
      <c r="E349" s="4"/>
      <c r="F349" s="17"/>
    </row>
    <row r="350" spans="2:6" x14ac:dyDescent="0.25">
      <c r="B350" s="43"/>
      <c r="C350" s="4"/>
      <c r="D350" s="4"/>
      <c r="E350" s="4"/>
      <c r="F350" s="17"/>
    </row>
    <row r="351" spans="2:6" x14ac:dyDescent="0.25">
      <c r="B351" s="43"/>
      <c r="C351" s="4"/>
      <c r="D351" s="4"/>
      <c r="E351" s="4"/>
      <c r="F351" s="17"/>
    </row>
    <row r="352" spans="2:6" x14ac:dyDescent="0.25">
      <c r="B352" s="43"/>
      <c r="C352" s="4"/>
      <c r="D352" s="4"/>
      <c r="E352" s="4"/>
      <c r="F352" s="17"/>
    </row>
    <row r="353" spans="2:6" x14ac:dyDescent="0.25">
      <c r="B353" s="43"/>
      <c r="C353" s="4"/>
      <c r="D353" s="4"/>
      <c r="E353" s="4"/>
      <c r="F353" s="17"/>
    </row>
    <row r="354" spans="2:6" x14ac:dyDescent="0.25">
      <c r="B354" s="43"/>
      <c r="C354" s="4"/>
      <c r="D354" s="70"/>
      <c r="E354" s="70"/>
      <c r="F354" s="17"/>
    </row>
    <row r="355" spans="2:6" x14ac:dyDescent="0.25">
      <c r="B355" s="43"/>
      <c r="C355" s="4"/>
      <c r="D355" s="70"/>
      <c r="E355" s="70"/>
      <c r="F355" s="17"/>
    </row>
    <row r="356" spans="2:6" x14ac:dyDescent="0.25">
      <c r="B356" s="43"/>
      <c r="C356" s="4"/>
      <c r="D356" s="4"/>
      <c r="E356" s="4"/>
      <c r="F356" s="17"/>
    </row>
    <row r="357" spans="2:6" x14ac:dyDescent="0.25">
      <c r="B357" s="43"/>
      <c r="C357" s="4"/>
      <c r="D357" s="4"/>
      <c r="E357" s="4"/>
      <c r="F357" s="17"/>
    </row>
    <row r="358" spans="2:6" x14ac:dyDescent="0.25">
      <c r="B358" s="43"/>
      <c r="C358" s="4"/>
      <c r="D358" s="4"/>
      <c r="E358" s="4"/>
      <c r="F358" s="17"/>
    </row>
    <row r="359" spans="2:6" x14ac:dyDescent="0.25">
      <c r="B359" s="43"/>
      <c r="C359" s="4"/>
      <c r="D359" s="70"/>
      <c r="E359" s="70"/>
      <c r="F359" s="17"/>
    </row>
    <row r="360" spans="2:6" x14ac:dyDescent="0.25">
      <c r="B360" s="43"/>
      <c r="C360" s="39"/>
      <c r="D360" s="4"/>
      <c r="E360" s="4"/>
      <c r="F360" s="17"/>
    </row>
    <row r="361" spans="2:6" x14ac:dyDescent="0.25">
      <c r="B361" s="43"/>
      <c r="C361" s="39"/>
      <c r="D361" s="4"/>
      <c r="E361" s="4"/>
      <c r="F361" s="17"/>
    </row>
    <row r="362" spans="2:6" x14ac:dyDescent="0.25">
      <c r="B362" s="43"/>
      <c r="C362" s="39"/>
      <c r="D362" s="4"/>
      <c r="E362" s="4"/>
      <c r="F362" s="17"/>
    </row>
    <row r="363" spans="2:6" x14ac:dyDescent="0.25">
      <c r="B363" s="43"/>
      <c r="C363" s="39"/>
      <c r="D363" s="4"/>
      <c r="E363" s="4"/>
      <c r="F363" s="17"/>
    </row>
    <row r="364" spans="2:6" x14ac:dyDescent="0.25">
      <c r="B364" s="43"/>
      <c r="C364" s="39"/>
      <c r="D364" s="4"/>
      <c r="E364" s="4"/>
      <c r="F364" s="17"/>
    </row>
    <row r="365" spans="2:6" x14ac:dyDescent="0.25">
      <c r="B365" s="43"/>
      <c r="C365" s="44"/>
      <c r="D365" s="4"/>
      <c r="E365" s="4"/>
      <c r="F365" s="17"/>
    </row>
    <row r="366" spans="2:6" x14ac:dyDescent="0.25">
      <c r="B366" s="43"/>
      <c r="C366" s="39"/>
      <c r="D366" s="4"/>
      <c r="E366" s="4"/>
      <c r="F366" s="17"/>
    </row>
    <row r="367" spans="2:6" x14ac:dyDescent="0.25">
      <c r="B367" s="43"/>
      <c r="C367" s="39"/>
      <c r="D367" s="4"/>
      <c r="E367" s="4"/>
      <c r="F367" s="17"/>
    </row>
    <row r="368" spans="2:6" x14ac:dyDescent="0.25">
      <c r="B368" s="43"/>
      <c r="C368" s="39"/>
      <c r="D368" s="4"/>
      <c r="E368" s="4"/>
      <c r="F368" s="17"/>
    </row>
    <row r="369" spans="2:6" x14ac:dyDescent="0.25">
      <c r="B369" s="43"/>
      <c r="C369" s="39"/>
      <c r="D369" s="4"/>
      <c r="E369" s="4"/>
      <c r="F369" s="17"/>
    </row>
    <row r="370" spans="2:6" x14ac:dyDescent="0.25">
      <c r="B370" s="43"/>
      <c r="C370" s="39"/>
      <c r="D370" s="4"/>
      <c r="E370" s="4"/>
      <c r="F370" s="17"/>
    </row>
    <row r="371" spans="2:6" x14ac:dyDescent="0.25">
      <c r="B371" s="43"/>
      <c r="C371" s="4"/>
      <c r="D371" s="70"/>
      <c r="E371" s="70"/>
      <c r="F371" s="8"/>
    </row>
    <row r="372" spans="2:6" x14ac:dyDescent="0.25">
      <c r="B372" s="43"/>
      <c r="C372" s="4"/>
      <c r="D372" s="4"/>
      <c r="E372" s="4"/>
      <c r="F372" s="8"/>
    </row>
    <row r="373" spans="2:6" x14ac:dyDescent="0.25">
      <c r="B373" s="43"/>
      <c r="C373" s="4"/>
      <c r="D373" s="70"/>
      <c r="E373" s="70"/>
      <c r="F373" s="8"/>
    </row>
    <row r="374" spans="2:6" x14ac:dyDescent="0.25">
      <c r="B374" s="43"/>
      <c r="C374" s="4"/>
      <c r="D374" s="70"/>
      <c r="E374" s="70"/>
      <c r="F374" s="8"/>
    </row>
    <row r="375" spans="2:6" x14ac:dyDescent="0.25">
      <c r="B375" s="43"/>
      <c r="C375" s="4"/>
      <c r="D375" s="4"/>
      <c r="E375" s="4"/>
      <c r="F375" s="8"/>
    </row>
    <row r="376" spans="2:6" x14ac:dyDescent="0.25">
      <c r="B376" s="43"/>
      <c r="C376" s="39"/>
      <c r="D376" s="4"/>
      <c r="E376" s="4"/>
      <c r="F376" s="8"/>
    </row>
    <row r="377" spans="2:6" x14ac:dyDescent="0.25">
      <c r="B377" s="43"/>
      <c r="C377" s="39"/>
      <c r="D377" s="4"/>
      <c r="E377" s="4"/>
      <c r="F377" s="8"/>
    </row>
    <row r="378" spans="2:6" x14ac:dyDescent="0.25">
      <c r="B378" s="43"/>
      <c r="C378" s="39"/>
      <c r="D378" s="4"/>
      <c r="E378" s="4"/>
      <c r="F378" s="8"/>
    </row>
    <row r="379" spans="2:6" x14ac:dyDescent="0.25">
      <c r="B379" s="43"/>
      <c r="C379" s="39"/>
      <c r="D379" s="4"/>
      <c r="E379" s="4"/>
      <c r="F379" s="8"/>
    </row>
    <row r="380" spans="2:6" x14ac:dyDescent="0.25">
      <c r="B380" s="43"/>
      <c r="C380" s="39"/>
      <c r="D380" s="4"/>
      <c r="E380" s="4"/>
      <c r="F380" s="8"/>
    </row>
    <row r="381" spans="2:6" x14ac:dyDescent="0.25">
      <c r="B381" s="43"/>
      <c r="C381" s="39"/>
      <c r="D381" s="4"/>
      <c r="E381" s="4"/>
      <c r="F381" s="8"/>
    </row>
    <row r="382" spans="2:6" x14ac:dyDescent="0.25">
      <c r="B382" s="43"/>
      <c r="C382" s="39"/>
      <c r="D382" s="4"/>
      <c r="E382" s="4"/>
      <c r="F382" s="8"/>
    </row>
    <row r="383" spans="2:6" x14ac:dyDescent="0.25">
      <c r="B383" s="43"/>
      <c r="C383" s="39"/>
      <c r="D383" s="4"/>
      <c r="E383" s="4"/>
      <c r="F383" s="8"/>
    </row>
    <row r="384" spans="2:6" x14ac:dyDescent="0.25">
      <c r="B384" s="43"/>
      <c r="C384" s="4"/>
      <c r="D384" s="70"/>
      <c r="E384" s="70"/>
      <c r="F384" s="8"/>
    </row>
    <row r="385" spans="2:6" x14ac:dyDescent="0.25">
      <c r="B385" s="43"/>
      <c r="C385" s="4"/>
      <c r="D385" s="4"/>
      <c r="E385" s="4"/>
      <c r="F385" s="15"/>
    </row>
    <row r="386" spans="2:6" s="48" customFormat="1" x14ac:dyDescent="0.25">
      <c r="B386" s="43"/>
      <c r="C386" s="44"/>
      <c r="D386" s="44"/>
      <c r="E386" s="44"/>
      <c r="F386" s="46"/>
    </row>
    <row r="387" spans="2:6" s="48" customFormat="1" x14ac:dyDescent="0.25">
      <c r="B387" s="43"/>
      <c r="C387" s="44"/>
      <c r="D387" s="44"/>
      <c r="E387" s="44"/>
      <c r="F387" s="46"/>
    </row>
    <row r="388" spans="2:6" s="48" customFormat="1" x14ac:dyDescent="0.25">
      <c r="B388" s="43"/>
      <c r="C388" s="44"/>
      <c r="D388" s="44"/>
      <c r="E388" s="44"/>
      <c r="F388" s="46"/>
    </row>
    <row r="389" spans="2:6" s="48" customFormat="1" x14ac:dyDescent="0.25">
      <c r="B389" s="43"/>
      <c r="C389" s="44"/>
      <c r="D389" s="44"/>
      <c r="E389" s="44"/>
      <c r="F389" s="46"/>
    </row>
    <row r="390" spans="2:6" s="48" customFormat="1" x14ac:dyDescent="0.25">
      <c r="B390" s="43"/>
      <c r="C390" s="44"/>
      <c r="D390" s="44"/>
      <c r="E390" s="44"/>
      <c r="F390" s="46"/>
    </row>
    <row r="391" spans="2:6" x14ac:dyDescent="0.25">
      <c r="B391" s="43"/>
      <c r="C391" s="4"/>
      <c r="D391" s="4"/>
      <c r="E391" s="4"/>
      <c r="F391" s="17"/>
    </row>
    <row r="392" spans="2:6" x14ac:dyDescent="0.25">
      <c r="B392" s="43"/>
      <c r="C392" s="4"/>
      <c r="D392" s="4"/>
      <c r="E392" s="4"/>
      <c r="F392" s="17"/>
    </row>
    <row r="393" spans="2:6" x14ac:dyDescent="0.25">
      <c r="B393" s="43"/>
      <c r="C393" s="4"/>
      <c r="D393" s="4"/>
      <c r="E393" s="4"/>
      <c r="F393" s="17"/>
    </row>
    <row r="394" spans="2:6" x14ac:dyDescent="0.25">
      <c r="B394" s="43"/>
      <c r="C394" s="4"/>
      <c r="D394" s="4"/>
      <c r="E394" s="4"/>
      <c r="F394" s="17"/>
    </row>
    <row r="395" spans="2:6" x14ac:dyDescent="0.25">
      <c r="B395" s="43"/>
      <c r="C395" s="4"/>
      <c r="D395" s="4"/>
      <c r="E395" s="4"/>
      <c r="F395" s="17"/>
    </row>
    <row r="396" spans="2:6" x14ac:dyDescent="0.25">
      <c r="B396" s="43"/>
      <c r="C396" s="4"/>
      <c r="D396" s="4"/>
      <c r="E396" s="4"/>
      <c r="F396" s="17"/>
    </row>
    <row r="397" spans="2:6" x14ac:dyDescent="0.25">
      <c r="B397" s="43"/>
      <c r="C397" s="4"/>
      <c r="D397" s="4"/>
      <c r="E397" s="4"/>
      <c r="F397" s="17"/>
    </row>
    <row r="398" spans="2:6" x14ac:dyDescent="0.25">
      <c r="B398" s="43"/>
      <c r="C398" s="4"/>
      <c r="D398" s="4"/>
      <c r="E398" s="4"/>
      <c r="F398" s="17"/>
    </row>
    <row r="399" spans="2:6" x14ac:dyDescent="0.25">
      <c r="B399" s="43"/>
      <c r="C399" s="4"/>
      <c r="D399" s="4"/>
      <c r="E399" s="4"/>
      <c r="F399" s="17"/>
    </row>
    <row r="400" spans="2:6" x14ac:dyDescent="0.25">
      <c r="B400" s="43"/>
      <c r="C400" s="4"/>
      <c r="D400" s="4"/>
      <c r="E400" s="4"/>
      <c r="F400" s="17"/>
    </row>
    <row r="401" spans="2:6" x14ac:dyDescent="0.25">
      <c r="B401" s="43"/>
      <c r="C401" s="4"/>
      <c r="D401" s="4"/>
      <c r="E401" s="4"/>
      <c r="F401" s="17"/>
    </row>
    <row r="402" spans="2:6" x14ac:dyDescent="0.25">
      <c r="B402" s="43"/>
      <c r="C402" s="4"/>
      <c r="D402" s="4"/>
      <c r="E402" s="4"/>
      <c r="F402" s="17"/>
    </row>
    <row r="403" spans="2:6" x14ac:dyDescent="0.25">
      <c r="B403" s="43"/>
      <c r="C403" s="4"/>
      <c r="D403" s="4"/>
      <c r="E403" s="4"/>
      <c r="F403" s="17"/>
    </row>
    <row r="404" spans="2:6" x14ac:dyDescent="0.25">
      <c r="B404" s="43"/>
      <c r="C404" s="4"/>
      <c r="D404" s="4"/>
      <c r="E404" s="4"/>
      <c r="F404" s="17"/>
    </row>
    <row r="405" spans="2:6" x14ac:dyDescent="0.25">
      <c r="B405" s="43"/>
      <c r="C405" s="4"/>
      <c r="D405" s="4"/>
      <c r="E405" s="4"/>
      <c r="F405" s="17"/>
    </row>
    <row r="406" spans="2:6" x14ac:dyDescent="0.25">
      <c r="B406" s="43"/>
      <c r="C406" s="4"/>
      <c r="D406" s="4"/>
      <c r="E406" s="4"/>
      <c r="F406" s="17"/>
    </row>
    <row r="407" spans="2:6" x14ac:dyDescent="0.25">
      <c r="B407" s="43"/>
      <c r="C407" s="4"/>
      <c r="D407" s="4"/>
      <c r="E407" s="4"/>
      <c r="F407" s="17"/>
    </row>
    <row r="408" spans="2:6" x14ac:dyDescent="0.25">
      <c r="B408" s="43"/>
      <c r="C408" s="4"/>
      <c r="D408" s="4"/>
      <c r="E408" s="4"/>
      <c r="F408" s="17"/>
    </row>
    <row r="409" spans="2:6" x14ac:dyDescent="0.25">
      <c r="B409" s="43"/>
      <c r="C409" s="4"/>
      <c r="D409" s="4"/>
      <c r="E409" s="4"/>
      <c r="F409" s="17"/>
    </row>
    <row r="410" spans="2:6" x14ac:dyDescent="0.25">
      <c r="B410" s="43"/>
      <c r="C410" s="4"/>
      <c r="D410" s="4"/>
      <c r="E410" s="4"/>
      <c r="F410" s="17"/>
    </row>
    <row r="411" spans="2:6" x14ac:dyDescent="0.25">
      <c r="B411" s="43"/>
      <c r="C411" s="4"/>
      <c r="D411" s="4"/>
      <c r="E411" s="4"/>
      <c r="F411" s="17"/>
    </row>
    <row r="412" spans="2:6" x14ac:dyDescent="0.25">
      <c r="B412" s="43"/>
      <c r="C412" s="4"/>
      <c r="D412" s="4"/>
      <c r="E412" s="4"/>
      <c r="F412" s="17"/>
    </row>
    <row r="413" spans="2:6" x14ac:dyDescent="0.25">
      <c r="B413" s="43"/>
      <c r="C413" s="4"/>
      <c r="D413" s="4"/>
      <c r="E413" s="4"/>
      <c r="F413" s="17"/>
    </row>
    <row r="414" spans="2:6" x14ac:dyDescent="0.25">
      <c r="B414" s="43"/>
      <c r="C414" s="4"/>
      <c r="D414" s="4"/>
      <c r="E414" s="4"/>
      <c r="F414" s="17"/>
    </row>
    <row r="415" spans="2:6" x14ac:dyDescent="0.25">
      <c r="B415" s="43"/>
      <c r="C415" s="4"/>
      <c r="D415" s="4"/>
      <c r="E415" s="4"/>
      <c r="F415" s="17"/>
    </row>
    <row r="416" spans="2:6" x14ac:dyDescent="0.25">
      <c r="B416" s="43"/>
      <c r="C416" s="4"/>
      <c r="D416" s="4"/>
      <c r="E416" s="4"/>
      <c r="F416" s="17"/>
    </row>
    <row r="417" spans="2:6" x14ac:dyDescent="0.25">
      <c r="B417" s="43"/>
      <c r="C417" s="4"/>
      <c r="D417" s="4"/>
      <c r="E417" s="4"/>
      <c r="F417" s="17"/>
    </row>
    <row r="418" spans="2:6" x14ac:dyDescent="0.25">
      <c r="B418" s="43"/>
      <c r="C418" s="4"/>
      <c r="D418" s="4"/>
      <c r="E418" s="4"/>
      <c r="F418" s="17"/>
    </row>
    <row r="419" spans="2:6" x14ac:dyDescent="0.25">
      <c r="B419" s="43"/>
      <c r="C419" s="4"/>
      <c r="D419" s="4"/>
      <c r="E419" s="4"/>
      <c r="F419" s="17"/>
    </row>
    <row r="420" spans="2:6" x14ac:dyDescent="0.25">
      <c r="B420" s="43"/>
      <c r="C420" s="4"/>
      <c r="D420" s="4"/>
      <c r="E420" s="4"/>
      <c r="F420" s="17"/>
    </row>
    <row r="421" spans="2:6" x14ac:dyDescent="0.25">
      <c r="B421" s="43"/>
      <c r="C421" s="4"/>
      <c r="D421" s="4"/>
      <c r="E421" s="4"/>
      <c r="F421" s="17"/>
    </row>
    <row r="422" spans="2:6" x14ac:dyDescent="0.25">
      <c r="B422" s="43"/>
      <c r="C422" s="4"/>
      <c r="D422" s="4"/>
      <c r="E422" s="4"/>
      <c r="F422" s="17"/>
    </row>
  </sheetData>
  <mergeCells count="5">
    <mergeCell ref="F3:F4"/>
    <mergeCell ref="B3:B4"/>
    <mergeCell ref="C3:C4"/>
    <mergeCell ref="D3:D4"/>
    <mergeCell ref="E3:E4"/>
  </mergeCells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1C18F-B3F9-4347-A11C-E8B957A26BCB}">
  <dimension ref="B1:O421"/>
  <sheetViews>
    <sheetView workbookViewId="0">
      <pane ySplit="4" topLeftCell="A86" activePane="bottomLeft" state="frozen"/>
      <selection pane="bottomLeft" activeCell="D107" sqref="D107"/>
    </sheetView>
  </sheetViews>
  <sheetFormatPr defaultRowHeight="15" x14ac:dyDescent="0.25"/>
  <cols>
    <col min="1" max="1" width="2" customWidth="1"/>
    <col min="2" max="2" width="5" style="54" customWidth="1"/>
    <col min="3" max="3" width="15.5703125" style="2" bestFit="1" customWidth="1"/>
    <col min="4" max="4" width="44.5703125" style="2" bestFit="1" customWidth="1"/>
    <col min="5" max="5" width="22" style="2" bestFit="1" customWidth="1"/>
    <col min="6" max="6" width="12.5703125" style="19" bestFit="1" customWidth="1"/>
    <col min="7" max="7" width="15.140625" style="59" customWidth="1"/>
    <col min="8" max="8" width="12.5703125" style="2" bestFit="1" customWidth="1"/>
    <col min="9" max="9" width="32.28515625" style="59" bestFit="1" customWidth="1"/>
    <col min="10" max="10" width="12.5703125" style="2" bestFit="1" customWidth="1"/>
    <col min="11" max="11" width="14.5703125" style="59" bestFit="1" customWidth="1"/>
    <col min="12" max="12" width="12.5703125" style="2" bestFit="1" customWidth="1"/>
    <col min="13" max="13" width="14.5703125" style="59" bestFit="1" customWidth="1"/>
    <col min="14" max="14" width="12.5703125" style="2" bestFit="1" customWidth="1"/>
    <col min="15" max="15" width="14.5703125" style="2" bestFit="1" customWidth="1"/>
  </cols>
  <sheetData>
    <row r="1" spans="2:15" ht="15.75" x14ac:dyDescent="0.25">
      <c r="B1" s="55" t="s">
        <v>0</v>
      </c>
      <c r="C1" s="20"/>
      <c r="D1" s="20"/>
      <c r="E1" s="20"/>
      <c r="F1" s="16"/>
      <c r="G1" s="58"/>
      <c r="H1" s="20"/>
      <c r="I1" s="58"/>
      <c r="J1" s="20"/>
      <c r="K1" s="58"/>
    </row>
    <row r="2" spans="2:15" ht="15.75" x14ac:dyDescent="0.25">
      <c r="B2" s="57"/>
      <c r="C2" s="20"/>
      <c r="D2" s="20"/>
      <c r="E2" s="20"/>
      <c r="F2" s="16"/>
      <c r="G2" s="58"/>
      <c r="H2" s="20"/>
      <c r="I2" s="58"/>
      <c r="J2" s="20"/>
      <c r="K2" s="58"/>
    </row>
    <row r="3" spans="2:15" ht="15.75" customHeight="1" x14ac:dyDescent="0.25">
      <c r="B3" s="120" t="s">
        <v>3</v>
      </c>
      <c r="C3" s="121" t="s">
        <v>397</v>
      </c>
      <c r="D3" s="123" t="s">
        <v>840</v>
      </c>
      <c r="E3" s="129" t="s">
        <v>841</v>
      </c>
      <c r="F3" s="124" t="s">
        <v>92</v>
      </c>
      <c r="G3" s="124"/>
      <c r="H3" s="119" t="s">
        <v>353</v>
      </c>
      <c r="I3" s="119"/>
      <c r="J3" s="119" t="s">
        <v>367</v>
      </c>
      <c r="K3" s="119"/>
      <c r="L3" s="119" t="s">
        <v>369</v>
      </c>
      <c r="M3" s="119"/>
      <c r="N3" s="119" t="s">
        <v>372</v>
      </c>
      <c r="O3" s="119"/>
    </row>
    <row r="4" spans="2:15" s="3" customFormat="1" ht="15.75" x14ac:dyDescent="0.25">
      <c r="B4" s="120"/>
      <c r="C4" s="122"/>
      <c r="D4" s="123"/>
      <c r="E4" s="130"/>
      <c r="F4" s="30" t="s">
        <v>1</v>
      </c>
      <c r="G4" s="31" t="s">
        <v>91</v>
      </c>
      <c r="H4" s="30" t="s">
        <v>1</v>
      </c>
      <c r="I4" s="31" t="s">
        <v>91</v>
      </c>
      <c r="J4" s="30" t="s">
        <v>1</v>
      </c>
      <c r="K4" s="31" t="s">
        <v>91</v>
      </c>
      <c r="L4" s="30" t="s">
        <v>1</v>
      </c>
      <c r="M4" s="31" t="s">
        <v>91</v>
      </c>
      <c r="N4" s="30" t="s">
        <v>1</v>
      </c>
      <c r="O4" s="31" t="s">
        <v>91</v>
      </c>
    </row>
    <row r="5" spans="2:15" s="48" customFormat="1" x14ac:dyDescent="0.25">
      <c r="B5" s="43">
        <v>1</v>
      </c>
      <c r="C5" s="44" t="s">
        <v>457</v>
      </c>
      <c r="D5" s="74" t="s">
        <v>850</v>
      </c>
      <c r="E5" s="44" t="s">
        <v>842</v>
      </c>
      <c r="F5" s="46">
        <v>7000</v>
      </c>
      <c r="G5" s="60"/>
      <c r="H5" s="44"/>
      <c r="I5" s="60"/>
      <c r="J5" s="44"/>
      <c r="K5" s="60"/>
      <c r="L5" s="44"/>
      <c r="M5" s="60"/>
      <c r="N5" s="44"/>
      <c r="O5" s="44"/>
    </row>
    <row r="6" spans="2:15" s="48" customFormat="1" x14ac:dyDescent="0.25">
      <c r="B6" s="43">
        <v>2</v>
      </c>
      <c r="C6" s="44" t="s">
        <v>498</v>
      </c>
      <c r="D6" s="74" t="s">
        <v>851</v>
      </c>
      <c r="E6" s="44" t="s">
        <v>843</v>
      </c>
      <c r="F6" s="46">
        <v>5610</v>
      </c>
      <c r="G6" s="60"/>
      <c r="H6" s="44"/>
      <c r="I6" s="60"/>
      <c r="J6" s="44"/>
      <c r="K6" s="60"/>
      <c r="L6" s="44"/>
      <c r="M6" s="60"/>
      <c r="N6" s="44"/>
      <c r="O6" s="44"/>
    </row>
    <row r="7" spans="2:15" s="48" customFormat="1" x14ac:dyDescent="0.25">
      <c r="B7" s="43">
        <v>3</v>
      </c>
      <c r="C7" s="44" t="s">
        <v>499</v>
      </c>
      <c r="D7" s="74" t="s">
        <v>852</v>
      </c>
      <c r="E7" s="44" t="s">
        <v>844</v>
      </c>
      <c r="F7" s="46">
        <v>4544</v>
      </c>
      <c r="G7" s="60"/>
      <c r="H7" s="44"/>
      <c r="I7" s="60"/>
      <c r="J7" s="44"/>
      <c r="K7" s="60"/>
      <c r="L7" s="44"/>
      <c r="M7" s="60"/>
      <c r="N7" s="44"/>
      <c r="O7" s="44"/>
    </row>
    <row r="8" spans="2:15" s="48" customFormat="1" x14ac:dyDescent="0.25">
      <c r="B8" s="43">
        <v>4</v>
      </c>
      <c r="C8" s="44" t="s">
        <v>459</v>
      </c>
      <c r="D8" s="74" t="s">
        <v>853</v>
      </c>
      <c r="E8" s="44" t="s">
        <v>844</v>
      </c>
      <c r="F8" s="46">
        <v>5000</v>
      </c>
      <c r="G8" s="60"/>
      <c r="H8" s="44"/>
      <c r="I8" s="60"/>
      <c r="J8" s="44"/>
      <c r="K8" s="60"/>
      <c r="L8" s="44"/>
      <c r="M8" s="60"/>
      <c r="N8" s="44"/>
      <c r="O8" s="44"/>
    </row>
    <row r="9" spans="2:15" s="48" customFormat="1" x14ac:dyDescent="0.25">
      <c r="B9" s="43">
        <v>5</v>
      </c>
      <c r="C9" s="44" t="s">
        <v>458</v>
      </c>
      <c r="D9" s="74" t="s">
        <v>854</v>
      </c>
      <c r="E9" s="44" t="s">
        <v>845</v>
      </c>
      <c r="F9" s="46">
        <v>4300</v>
      </c>
      <c r="G9" s="60"/>
      <c r="H9" s="44"/>
      <c r="I9" s="60"/>
      <c r="J9" s="44"/>
      <c r="K9" s="60"/>
      <c r="L9" s="44"/>
      <c r="M9" s="60"/>
      <c r="N9" s="44"/>
      <c r="O9" s="44"/>
    </row>
    <row r="10" spans="2:15" s="48" customFormat="1" x14ac:dyDescent="0.25">
      <c r="B10" s="43">
        <v>6</v>
      </c>
      <c r="C10" s="44" t="s">
        <v>490</v>
      </c>
      <c r="D10" s="74" t="s">
        <v>855</v>
      </c>
      <c r="E10" s="44" t="s">
        <v>846</v>
      </c>
      <c r="F10" s="46">
        <v>2839</v>
      </c>
      <c r="G10" s="60"/>
      <c r="H10" s="44"/>
      <c r="I10" s="60"/>
      <c r="J10" s="44"/>
      <c r="K10" s="60"/>
      <c r="L10" s="44"/>
      <c r="M10" s="60"/>
      <c r="N10" s="44"/>
      <c r="O10" s="44"/>
    </row>
    <row r="11" spans="2:15" s="48" customFormat="1" x14ac:dyDescent="0.25">
      <c r="B11" s="43">
        <v>7</v>
      </c>
      <c r="C11" s="44" t="s">
        <v>500</v>
      </c>
      <c r="D11" s="74" t="s">
        <v>856</v>
      </c>
      <c r="E11" s="44" t="s">
        <v>844</v>
      </c>
      <c r="F11" s="46">
        <v>4544</v>
      </c>
      <c r="G11" s="60"/>
      <c r="H11" s="44"/>
      <c r="I11" s="60"/>
      <c r="J11" s="44"/>
      <c r="K11" s="60"/>
      <c r="L11" s="44"/>
      <c r="M11" s="60"/>
      <c r="N11" s="44"/>
      <c r="O11" s="44"/>
    </row>
    <row r="12" spans="2:15" s="48" customFormat="1" x14ac:dyDescent="0.25">
      <c r="B12" s="43">
        <v>8</v>
      </c>
      <c r="C12" s="44" t="s">
        <v>497</v>
      </c>
      <c r="D12" s="74" t="s">
        <v>857</v>
      </c>
      <c r="E12" s="44" t="s">
        <v>848</v>
      </c>
      <c r="F12" s="46">
        <v>5100</v>
      </c>
      <c r="G12" s="60"/>
      <c r="H12" s="44"/>
      <c r="I12" s="60"/>
      <c r="J12" s="44"/>
      <c r="K12" s="60"/>
      <c r="L12" s="44"/>
      <c r="M12" s="60"/>
      <c r="N12" s="44"/>
      <c r="O12" s="44"/>
    </row>
    <row r="13" spans="2:15" s="48" customFormat="1" x14ac:dyDescent="0.25">
      <c r="B13" s="43">
        <v>9</v>
      </c>
      <c r="C13" s="44" t="s">
        <v>491</v>
      </c>
      <c r="D13" s="74" t="s">
        <v>858</v>
      </c>
      <c r="E13" s="44" t="s">
        <v>847</v>
      </c>
      <c r="F13" s="46">
        <v>7160</v>
      </c>
      <c r="G13" s="60"/>
      <c r="H13" s="44"/>
      <c r="I13" s="60"/>
      <c r="J13" s="44"/>
      <c r="K13" s="60"/>
      <c r="L13" s="44"/>
      <c r="M13" s="60"/>
      <c r="N13" s="44"/>
      <c r="O13" s="44"/>
    </row>
    <row r="14" spans="2:15" s="48" customFormat="1" x14ac:dyDescent="0.25">
      <c r="B14" s="43">
        <v>10</v>
      </c>
      <c r="C14" s="44" t="s">
        <v>492</v>
      </c>
      <c r="D14" s="74" t="s">
        <v>859</v>
      </c>
      <c r="E14" s="44" t="s">
        <v>849</v>
      </c>
      <c r="F14" s="46">
        <v>3350</v>
      </c>
      <c r="G14" s="60"/>
      <c r="H14" s="44"/>
      <c r="I14" s="60"/>
      <c r="J14" s="44"/>
      <c r="K14" s="60"/>
      <c r="L14" s="44"/>
      <c r="M14" s="60"/>
      <c r="N14" s="44"/>
      <c r="O14" s="44"/>
    </row>
    <row r="15" spans="2:15" s="48" customFormat="1" x14ac:dyDescent="0.25">
      <c r="B15" s="43">
        <v>11</v>
      </c>
      <c r="C15" s="44" t="s">
        <v>421</v>
      </c>
      <c r="D15" s="74" t="s">
        <v>867</v>
      </c>
      <c r="E15" s="44" t="s">
        <v>860</v>
      </c>
      <c r="F15" s="46">
        <v>25200</v>
      </c>
      <c r="G15" s="60"/>
      <c r="H15" s="44"/>
      <c r="I15" s="60"/>
      <c r="J15" s="44"/>
      <c r="K15" s="60"/>
      <c r="L15" s="44"/>
      <c r="M15" s="60"/>
      <c r="N15" s="44"/>
      <c r="O15" s="44"/>
    </row>
    <row r="16" spans="2:15" s="48" customFormat="1" x14ac:dyDescent="0.25">
      <c r="B16" s="43">
        <v>12</v>
      </c>
      <c r="C16" s="44" t="s">
        <v>493</v>
      </c>
      <c r="D16" s="74" t="s">
        <v>868</v>
      </c>
      <c r="E16" s="44" t="s">
        <v>861</v>
      </c>
      <c r="F16" s="46">
        <v>19000</v>
      </c>
      <c r="G16" s="60"/>
      <c r="H16" s="44"/>
      <c r="I16" s="60"/>
      <c r="J16" s="44"/>
      <c r="K16" s="60"/>
      <c r="L16" s="44"/>
      <c r="M16" s="60"/>
      <c r="N16" s="44"/>
      <c r="O16" s="44"/>
    </row>
    <row r="17" spans="2:15" s="48" customFormat="1" x14ac:dyDescent="0.25">
      <c r="B17" s="43">
        <v>13</v>
      </c>
      <c r="C17" s="44" t="s">
        <v>494</v>
      </c>
      <c r="D17" s="74" t="s">
        <v>869</v>
      </c>
      <c r="E17" s="44" t="s">
        <v>862</v>
      </c>
      <c r="F17" s="46">
        <v>2910</v>
      </c>
      <c r="G17" s="60"/>
      <c r="H17" s="44"/>
      <c r="I17" s="60"/>
      <c r="J17" s="44"/>
      <c r="K17" s="60"/>
      <c r="L17" s="44"/>
      <c r="M17" s="60"/>
      <c r="N17" s="44"/>
      <c r="O17" s="44"/>
    </row>
    <row r="18" spans="2:15" s="48" customFormat="1" x14ac:dyDescent="0.25">
      <c r="B18" s="43">
        <v>14</v>
      </c>
      <c r="C18" s="44" t="s">
        <v>422</v>
      </c>
      <c r="D18" s="74" t="s">
        <v>870</v>
      </c>
      <c r="E18" s="44" t="s">
        <v>863</v>
      </c>
      <c r="F18" s="46">
        <v>339</v>
      </c>
      <c r="G18" s="60"/>
      <c r="H18" s="44"/>
      <c r="I18" s="60"/>
      <c r="J18" s="44"/>
      <c r="K18" s="60"/>
      <c r="L18" s="44"/>
      <c r="M18" s="60"/>
      <c r="N18" s="44"/>
      <c r="O18" s="44"/>
    </row>
    <row r="19" spans="2:15" s="48" customFormat="1" x14ac:dyDescent="0.25">
      <c r="B19" s="43">
        <v>15</v>
      </c>
      <c r="C19" s="44" t="s">
        <v>495</v>
      </c>
      <c r="D19" s="74" t="s">
        <v>871</v>
      </c>
      <c r="E19" s="44" t="s">
        <v>863</v>
      </c>
      <c r="F19" s="46">
        <v>339</v>
      </c>
      <c r="G19" s="60"/>
      <c r="H19" s="44"/>
      <c r="I19" s="60"/>
      <c r="J19" s="44"/>
      <c r="K19" s="60"/>
      <c r="L19" s="44"/>
      <c r="M19" s="60"/>
      <c r="N19" s="44"/>
      <c r="O19" s="44"/>
    </row>
    <row r="20" spans="2:15" s="48" customFormat="1" x14ac:dyDescent="0.25">
      <c r="B20" s="43">
        <v>16</v>
      </c>
      <c r="C20" s="44" t="s">
        <v>496</v>
      </c>
      <c r="D20" s="74" t="s">
        <v>872</v>
      </c>
      <c r="E20" s="44" t="s">
        <v>864</v>
      </c>
      <c r="F20" s="46">
        <v>3150</v>
      </c>
      <c r="G20" s="60"/>
      <c r="H20" s="44"/>
      <c r="I20" s="60"/>
      <c r="J20" s="44"/>
      <c r="K20" s="60"/>
      <c r="L20" s="44"/>
      <c r="M20" s="60"/>
      <c r="N20" s="44"/>
      <c r="O20" s="44"/>
    </row>
    <row r="21" spans="2:15" s="48" customFormat="1" x14ac:dyDescent="0.25">
      <c r="B21" s="43">
        <v>17</v>
      </c>
      <c r="C21" s="44" t="s">
        <v>423</v>
      </c>
      <c r="D21" s="74" t="s">
        <v>873</v>
      </c>
      <c r="E21" s="44" t="s">
        <v>864</v>
      </c>
      <c r="F21" s="46">
        <v>3150</v>
      </c>
      <c r="G21" s="60"/>
      <c r="H21" s="44"/>
      <c r="I21" s="60"/>
      <c r="J21" s="44"/>
      <c r="K21" s="60"/>
      <c r="L21" s="44"/>
      <c r="M21" s="60"/>
      <c r="N21" s="44"/>
      <c r="O21" s="44"/>
    </row>
    <row r="22" spans="2:15" s="48" customFormat="1" x14ac:dyDescent="0.25">
      <c r="B22" s="43">
        <v>18</v>
      </c>
      <c r="C22" s="44" t="s">
        <v>398</v>
      </c>
      <c r="D22" s="74" t="s">
        <v>874</v>
      </c>
      <c r="E22" s="44" t="s">
        <v>861</v>
      </c>
      <c r="F22" s="46">
        <v>19000</v>
      </c>
      <c r="G22" s="60"/>
      <c r="H22" s="44"/>
      <c r="I22" s="60"/>
      <c r="J22" s="44"/>
      <c r="K22" s="60"/>
      <c r="L22" s="44"/>
      <c r="M22" s="60"/>
      <c r="N22" s="44"/>
      <c r="O22" s="44"/>
    </row>
    <row r="23" spans="2:15" s="48" customFormat="1" x14ac:dyDescent="0.25">
      <c r="B23" s="43">
        <v>19</v>
      </c>
      <c r="C23" s="44" t="s">
        <v>399</v>
      </c>
      <c r="D23" s="74" t="s">
        <v>874</v>
      </c>
      <c r="E23" s="44" t="s">
        <v>865</v>
      </c>
      <c r="F23" s="46">
        <v>28500</v>
      </c>
      <c r="G23" s="60"/>
      <c r="H23" s="44"/>
      <c r="I23" s="60"/>
      <c r="J23" s="44"/>
      <c r="K23" s="60"/>
      <c r="L23" s="44"/>
      <c r="M23" s="60"/>
      <c r="N23" s="44"/>
      <c r="O23" s="44"/>
    </row>
    <row r="24" spans="2:15" s="48" customFormat="1" x14ac:dyDescent="0.25">
      <c r="B24" s="43">
        <v>20</v>
      </c>
      <c r="C24" s="44" t="s">
        <v>424</v>
      </c>
      <c r="D24" s="74" t="s">
        <v>874</v>
      </c>
      <c r="E24" s="44" t="s">
        <v>866</v>
      </c>
      <c r="F24" s="46">
        <v>395000</v>
      </c>
      <c r="G24" s="60"/>
      <c r="H24" s="44"/>
      <c r="I24" s="60"/>
      <c r="J24" s="44"/>
      <c r="K24" s="60"/>
      <c r="L24" s="44"/>
      <c r="M24" s="60"/>
      <c r="N24" s="44"/>
      <c r="O24" s="44"/>
    </row>
    <row r="25" spans="2:15" s="48" customFormat="1" x14ac:dyDescent="0.25">
      <c r="B25" s="43">
        <v>21</v>
      </c>
      <c r="C25" s="44" t="s">
        <v>400</v>
      </c>
      <c r="D25" s="74" t="s">
        <v>874</v>
      </c>
      <c r="E25" s="44" t="s">
        <v>875</v>
      </c>
      <c r="F25" s="46">
        <v>22000</v>
      </c>
      <c r="G25" s="60"/>
      <c r="H25" s="44"/>
      <c r="I25" s="60"/>
      <c r="J25" s="44"/>
      <c r="K25" s="60"/>
      <c r="L25" s="44"/>
      <c r="M25" s="60"/>
      <c r="N25" s="44"/>
      <c r="O25" s="44"/>
    </row>
    <row r="26" spans="2:15" s="48" customFormat="1" x14ac:dyDescent="0.25">
      <c r="B26" s="43">
        <v>22</v>
      </c>
      <c r="C26" s="44" t="s">
        <v>401</v>
      </c>
      <c r="D26" s="74" t="s">
        <v>874</v>
      </c>
      <c r="E26" s="44" t="s">
        <v>876</v>
      </c>
      <c r="F26" s="46">
        <v>35000</v>
      </c>
      <c r="G26" s="60"/>
      <c r="H26" s="44"/>
      <c r="I26" s="60"/>
      <c r="J26" s="44"/>
      <c r="K26" s="60"/>
      <c r="L26" s="44"/>
      <c r="M26" s="60"/>
      <c r="N26" s="44"/>
      <c r="O26" s="44"/>
    </row>
    <row r="27" spans="2:15" s="48" customFormat="1" x14ac:dyDescent="0.25">
      <c r="B27" s="43">
        <v>23</v>
      </c>
      <c r="C27" s="44" t="s">
        <v>402</v>
      </c>
      <c r="D27" s="74" t="s">
        <v>874</v>
      </c>
      <c r="E27" s="44" t="s">
        <v>877</v>
      </c>
      <c r="F27" s="46">
        <v>38000</v>
      </c>
      <c r="G27" s="60"/>
      <c r="H27" s="44"/>
      <c r="I27" s="60"/>
      <c r="J27" s="44"/>
      <c r="K27" s="60"/>
      <c r="L27" s="44"/>
      <c r="M27" s="60"/>
      <c r="N27" s="44"/>
      <c r="O27" s="44"/>
    </row>
    <row r="28" spans="2:15" s="48" customFormat="1" x14ac:dyDescent="0.25">
      <c r="B28" s="43">
        <v>24</v>
      </c>
      <c r="C28" s="44" t="s">
        <v>403</v>
      </c>
      <c r="D28" s="74" t="s">
        <v>874</v>
      </c>
      <c r="E28" s="44" t="s">
        <v>878</v>
      </c>
      <c r="F28" s="46">
        <v>44000</v>
      </c>
      <c r="G28" s="60"/>
      <c r="H28" s="44"/>
      <c r="I28" s="60"/>
      <c r="J28" s="44"/>
      <c r="K28" s="60"/>
      <c r="L28" s="44"/>
      <c r="M28" s="60"/>
      <c r="N28" s="44"/>
      <c r="O28" s="44"/>
    </row>
    <row r="29" spans="2:15" s="48" customFormat="1" x14ac:dyDescent="0.25">
      <c r="B29" s="43">
        <v>25</v>
      </c>
      <c r="C29" s="44" t="s">
        <v>404</v>
      </c>
      <c r="D29" s="74" t="s">
        <v>874</v>
      </c>
      <c r="E29" s="44" t="s">
        <v>879</v>
      </c>
      <c r="F29" s="46">
        <v>33000</v>
      </c>
      <c r="G29" s="60"/>
      <c r="H29" s="44"/>
      <c r="I29" s="60"/>
      <c r="J29" s="44"/>
      <c r="K29" s="60"/>
      <c r="L29" s="44"/>
      <c r="M29" s="60"/>
      <c r="N29" s="44"/>
      <c r="O29" s="44"/>
    </row>
    <row r="30" spans="2:15" s="48" customFormat="1" x14ac:dyDescent="0.25">
      <c r="B30" s="43">
        <v>26</v>
      </c>
      <c r="C30" s="44" t="s">
        <v>707</v>
      </c>
      <c r="D30" s="74" t="s">
        <v>874</v>
      </c>
      <c r="E30" s="44" t="s">
        <v>880</v>
      </c>
      <c r="F30" s="78">
        <v>185000</v>
      </c>
      <c r="G30" s="60" t="s">
        <v>882</v>
      </c>
      <c r="H30" s="44"/>
      <c r="I30" s="60"/>
      <c r="J30" s="44"/>
      <c r="K30" s="60"/>
      <c r="L30" s="44"/>
      <c r="M30" s="60"/>
      <c r="N30" s="44"/>
      <c r="O30" s="44"/>
    </row>
    <row r="31" spans="2:15" s="48" customFormat="1" x14ac:dyDescent="0.25">
      <c r="B31" s="43">
        <v>27</v>
      </c>
      <c r="C31" s="44" t="s">
        <v>711</v>
      </c>
      <c r="D31" s="74" t="s">
        <v>874</v>
      </c>
      <c r="E31" s="44" t="s">
        <v>881</v>
      </c>
      <c r="F31" s="78">
        <v>925000</v>
      </c>
      <c r="G31" s="60" t="s">
        <v>882</v>
      </c>
      <c r="H31" s="44"/>
      <c r="I31" s="60"/>
      <c r="J31" s="44"/>
      <c r="K31" s="60"/>
      <c r="L31" s="44"/>
      <c r="M31" s="60"/>
      <c r="N31" s="44"/>
      <c r="O31" s="44"/>
    </row>
    <row r="32" spans="2:15" s="48" customFormat="1" x14ac:dyDescent="0.25">
      <c r="B32" s="43">
        <v>28</v>
      </c>
      <c r="C32" s="44" t="s">
        <v>405</v>
      </c>
      <c r="D32" s="74" t="s">
        <v>890</v>
      </c>
      <c r="E32" s="44" t="s">
        <v>883</v>
      </c>
      <c r="F32" s="46">
        <v>2500</v>
      </c>
      <c r="G32" s="60"/>
      <c r="H32" s="44"/>
      <c r="I32" s="60"/>
      <c r="J32" s="44"/>
      <c r="K32" s="60"/>
      <c r="L32" s="44"/>
      <c r="M32" s="60"/>
      <c r="N32" s="44"/>
      <c r="O32" s="44"/>
    </row>
    <row r="33" spans="2:15" s="48" customFormat="1" x14ac:dyDescent="0.25">
      <c r="B33" s="43">
        <v>29</v>
      </c>
      <c r="C33" s="44" t="s">
        <v>406</v>
      </c>
      <c r="D33" s="74" t="s">
        <v>890</v>
      </c>
      <c r="E33" s="44" t="s">
        <v>884</v>
      </c>
      <c r="F33" s="46">
        <v>5000</v>
      </c>
      <c r="G33" s="60"/>
      <c r="H33" s="44"/>
      <c r="I33" s="60"/>
      <c r="J33" s="44"/>
      <c r="K33" s="60"/>
      <c r="L33" s="44"/>
      <c r="M33" s="60"/>
      <c r="N33" s="44"/>
      <c r="O33" s="44"/>
    </row>
    <row r="34" spans="2:15" s="48" customFormat="1" x14ac:dyDescent="0.25">
      <c r="B34" s="43">
        <v>30</v>
      </c>
      <c r="C34" s="44" t="s">
        <v>407</v>
      </c>
      <c r="D34" s="74" t="s">
        <v>890</v>
      </c>
      <c r="E34" s="44" t="s">
        <v>885</v>
      </c>
      <c r="F34" s="46">
        <v>10000</v>
      </c>
      <c r="G34" s="60"/>
      <c r="H34" s="44"/>
      <c r="I34" s="60"/>
      <c r="J34" s="44"/>
      <c r="K34" s="60"/>
      <c r="L34" s="44"/>
      <c r="M34" s="60"/>
      <c r="N34" s="44"/>
      <c r="O34" s="44"/>
    </row>
    <row r="35" spans="2:15" s="48" customFormat="1" x14ac:dyDescent="0.25">
      <c r="B35" s="43">
        <v>31</v>
      </c>
      <c r="C35" s="44" t="s">
        <v>408</v>
      </c>
      <c r="D35" s="74" t="s">
        <v>890</v>
      </c>
      <c r="E35" s="44" t="s">
        <v>886</v>
      </c>
      <c r="F35" s="46">
        <v>16000</v>
      </c>
      <c r="G35" s="60"/>
      <c r="H35" s="44"/>
      <c r="I35" s="60"/>
      <c r="J35" s="44"/>
      <c r="K35" s="60"/>
      <c r="L35" s="44"/>
      <c r="M35" s="60"/>
      <c r="N35" s="44"/>
      <c r="O35" s="44"/>
    </row>
    <row r="36" spans="2:15" s="48" customFormat="1" x14ac:dyDescent="0.25">
      <c r="B36" s="43">
        <v>32</v>
      </c>
      <c r="C36" s="44" t="s">
        <v>409</v>
      </c>
      <c r="D36" s="74" t="s">
        <v>890</v>
      </c>
      <c r="E36" s="44" t="s">
        <v>887</v>
      </c>
      <c r="F36" s="46">
        <v>5000</v>
      </c>
      <c r="G36" s="60"/>
      <c r="H36" s="44"/>
      <c r="I36" s="60"/>
      <c r="J36" s="44"/>
      <c r="K36" s="60"/>
      <c r="L36" s="44"/>
      <c r="M36" s="60"/>
      <c r="N36" s="44"/>
      <c r="O36" s="44"/>
    </row>
    <row r="37" spans="2:15" s="48" customFormat="1" x14ac:dyDescent="0.25">
      <c r="B37" s="43">
        <v>33</v>
      </c>
      <c r="C37" s="44" t="s">
        <v>406</v>
      </c>
      <c r="D37" s="74" t="s">
        <v>890</v>
      </c>
      <c r="E37" s="44" t="s">
        <v>884</v>
      </c>
      <c r="F37" s="46">
        <v>5000</v>
      </c>
      <c r="G37" s="60"/>
      <c r="H37" s="44"/>
      <c r="I37" s="60"/>
      <c r="J37" s="44"/>
      <c r="K37" s="60"/>
      <c r="L37" s="44"/>
      <c r="M37" s="60"/>
      <c r="N37" s="44"/>
      <c r="O37" s="44"/>
    </row>
    <row r="38" spans="2:15" s="48" customFormat="1" x14ac:dyDescent="0.25">
      <c r="B38" s="43">
        <v>34</v>
      </c>
      <c r="C38" s="44" t="s">
        <v>425</v>
      </c>
      <c r="D38" s="74" t="s">
        <v>891</v>
      </c>
      <c r="E38" s="44" t="s">
        <v>888</v>
      </c>
      <c r="F38" s="46">
        <v>9550</v>
      </c>
      <c r="G38" s="60"/>
      <c r="H38" s="44"/>
      <c r="I38" s="60"/>
      <c r="J38" s="44"/>
      <c r="K38" s="60"/>
      <c r="L38" s="44"/>
      <c r="M38" s="60"/>
      <c r="N38" s="44"/>
      <c r="O38" s="44"/>
    </row>
    <row r="39" spans="2:15" s="48" customFormat="1" x14ac:dyDescent="0.25">
      <c r="B39" s="43">
        <v>35</v>
      </c>
      <c r="C39" s="44" t="s">
        <v>428</v>
      </c>
      <c r="D39" s="74" t="s">
        <v>891</v>
      </c>
      <c r="E39" s="44" t="s">
        <v>889</v>
      </c>
      <c r="F39" s="46">
        <v>3820</v>
      </c>
      <c r="G39" s="60"/>
      <c r="H39" s="44"/>
      <c r="I39" s="60"/>
      <c r="J39" s="44"/>
      <c r="K39" s="60"/>
      <c r="L39" s="44"/>
      <c r="M39" s="60"/>
      <c r="N39" s="44"/>
      <c r="O39" s="44"/>
    </row>
    <row r="40" spans="2:15" s="48" customFormat="1" x14ac:dyDescent="0.25">
      <c r="B40" s="43">
        <v>36</v>
      </c>
      <c r="C40" s="44" t="s">
        <v>430</v>
      </c>
      <c r="D40" s="74" t="s">
        <v>891</v>
      </c>
      <c r="E40" s="44" t="s">
        <v>892</v>
      </c>
      <c r="F40" s="46">
        <v>4400</v>
      </c>
      <c r="G40" s="60"/>
      <c r="H40" s="44"/>
      <c r="I40" s="60"/>
      <c r="J40" s="44"/>
      <c r="K40" s="60"/>
      <c r="L40" s="44"/>
      <c r="M40" s="60"/>
      <c r="N40" s="44"/>
      <c r="O40" s="44"/>
    </row>
    <row r="41" spans="2:15" s="48" customFormat="1" x14ac:dyDescent="0.25">
      <c r="B41" s="43">
        <v>37</v>
      </c>
      <c r="C41" s="44" t="s">
        <v>431</v>
      </c>
      <c r="D41" s="74" t="s">
        <v>891</v>
      </c>
      <c r="E41" s="44" t="s">
        <v>893</v>
      </c>
      <c r="F41" s="46">
        <v>2200</v>
      </c>
      <c r="G41" s="60"/>
      <c r="H41" s="44"/>
      <c r="I41" s="60"/>
      <c r="J41" s="44"/>
      <c r="K41" s="60"/>
      <c r="L41" s="44"/>
      <c r="M41" s="60"/>
      <c r="N41" s="44"/>
      <c r="O41" s="44"/>
    </row>
    <row r="42" spans="2:15" s="48" customFormat="1" x14ac:dyDescent="0.25">
      <c r="B42" s="43">
        <v>38</v>
      </c>
      <c r="C42" s="44" t="s">
        <v>429</v>
      </c>
      <c r="D42" s="74" t="s">
        <v>891</v>
      </c>
      <c r="E42" s="44" t="s">
        <v>894</v>
      </c>
      <c r="F42" s="46">
        <v>1350</v>
      </c>
      <c r="G42" s="60"/>
      <c r="H42" s="44"/>
      <c r="I42" s="60"/>
      <c r="J42" s="44"/>
      <c r="K42" s="60"/>
      <c r="L42" s="44"/>
      <c r="M42" s="60"/>
      <c r="N42" s="44"/>
      <c r="O42" s="44"/>
    </row>
    <row r="43" spans="2:15" s="48" customFormat="1" x14ac:dyDescent="0.25">
      <c r="B43" s="43">
        <v>39</v>
      </c>
      <c r="C43" s="44" t="s">
        <v>432</v>
      </c>
      <c r="D43" s="74" t="s">
        <v>896</v>
      </c>
      <c r="E43" s="44" t="s">
        <v>884</v>
      </c>
      <c r="F43" s="46">
        <v>5000</v>
      </c>
      <c r="G43" s="60"/>
      <c r="H43" s="44"/>
      <c r="I43" s="60"/>
      <c r="J43" s="44"/>
      <c r="K43" s="60"/>
      <c r="L43" s="44"/>
      <c r="M43" s="60"/>
      <c r="N43" s="44"/>
      <c r="O43" s="44"/>
    </row>
    <row r="44" spans="2:15" s="48" customFormat="1" x14ac:dyDescent="0.25">
      <c r="B44" s="43">
        <v>40</v>
      </c>
      <c r="C44" s="44" t="s">
        <v>433</v>
      </c>
      <c r="D44" s="74" t="s">
        <v>897</v>
      </c>
      <c r="E44" s="44" t="s">
        <v>895</v>
      </c>
      <c r="F44" s="46">
        <v>46440</v>
      </c>
      <c r="G44" s="60"/>
      <c r="H44" s="44"/>
      <c r="I44" s="60"/>
      <c r="J44" s="44"/>
      <c r="K44" s="60"/>
      <c r="L44" s="44"/>
      <c r="M44" s="60"/>
      <c r="N44" s="44"/>
      <c r="O44" s="44"/>
    </row>
    <row r="45" spans="2:15" s="48" customFormat="1" x14ac:dyDescent="0.25">
      <c r="B45" s="43">
        <v>41</v>
      </c>
      <c r="C45" s="44" t="s">
        <v>434</v>
      </c>
      <c r="D45" s="75" t="s">
        <v>897</v>
      </c>
      <c r="E45" s="44" t="s">
        <v>898</v>
      </c>
      <c r="F45" s="46">
        <v>25800</v>
      </c>
      <c r="G45" s="60" t="s">
        <v>908</v>
      </c>
      <c r="H45" s="44"/>
      <c r="I45" s="60"/>
      <c r="J45" s="44"/>
      <c r="K45" s="60"/>
      <c r="L45" s="44"/>
      <c r="M45" s="60"/>
      <c r="N45" s="44"/>
      <c r="O45" s="44"/>
    </row>
    <row r="46" spans="2:15" s="48" customFormat="1" x14ac:dyDescent="0.25">
      <c r="B46" s="43">
        <v>42</v>
      </c>
      <c r="C46" s="44" t="s">
        <v>435</v>
      </c>
      <c r="D46" s="75" t="s">
        <v>905</v>
      </c>
      <c r="E46" s="44" t="s">
        <v>898</v>
      </c>
      <c r="F46" s="46">
        <v>25800</v>
      </c>
      <c r="G46" s="60"/>
      <c r="H46" s="44"/>
      <c r="I46" s="60"/>
      <c r="J46" s="44"/>
      <c r="K46" s="60"/>
      <c r="L46" s="44"/>
      <c r="M46" s="60"/>
      <c r="N46" s="44"/>
      <c r="O46" s="44"/>
    </row>
    <row r="47" spans="2:15" s="48" customFormat="1" x14ac:dyDescent="0.25">
      <c r="B47" s="43">
        <v>43</v>
      </c>
      <c r="C47" s="44" t="s">
        <v>436</v>
      </c>
      <c r="D47" s="75" t="s">
        <v>906</v>
      </c>
      <c r="E47" s="44" t="s">
        <v>899</v>
      </c>
      <c r="F47" s="46">
        <v>12900</v>
      </c>
      <c r="G47" s="79" t="s">
        <v>909</v>
      </c>
      <c r="H47" s="44"/>
      <c r="I47" s="60"/>
      <c r="J47" s="44"/>
      <c r="K47" s="60"/>
      <c r="L47" s="44"/>
      <c r="M47" s="60"/>
      <c r="N47" s="44"/>
      <c r="O47" s="44"/>
    </row>
    <row r="48" spans="2:15" s="48" customFormat="1" x14ac:dyDescent="0.25">
      <c r="B48" s="43">
        <v>44</v>
      </c>
      <c r="C48" s="44" t="s">
        <v>437</v>
      </c>
      <c r="D48" s="75" t="s">
        <v>906</v>
      </c>
      <c r="E48" s="44" t="s">
        <v>898</v>
      </c>
      <c r="F48" s="46">
        <v>25800</v>
      </c>
      <c r="G48" s="60"/>
      <c r="H48" s="44"/>
      <c r="I48" s="60"/>
      <c r="J48" s="44"/>
      <c r="K48" s="60"/>
      <c r="L48" s="44"/>
      <c r="M48" s="60"/>
      <c r="N48" s="44"/>
      <c r="O48" s="44"/>
    </row>
    <row r="49" spans="2:15" s="48" customFormat="1" x14ac:dyDescent="0.25">
      <c r="B49" s="43">
        <v>45</v>
      </c>
      <c r="C49" s="44" t="s">
        <v>438</v>
      </c>
      <c r="D49" s="75" t="s">
        <v>906</v>
      </c>
      <c r="E49" s="44" t="s">
        <v>895</v>
      </c>
      <c r="F49" s="46">
        <v>46440</v>
      </c>
      <c r="G49" s="60"/>
      <c r="H49" s="44"/>
      <c r="I49" s="60"/>
      <c r="J49" s="44"/>
      <c r="K49" s="60"/>
      <c r="L49" s="44"/>
      <c r="M49" s="60"/>
      <c r="N49" s="44"/>
      <c r="O49" s="44"/>
    </row>
    <row r="50" spans="2:15" s="48" customFormat="1" x14ac:dyDescent="0.25">
      <c r="B50" s="43">
        <v>46</v>
      </c>
      <c r="C50" s="44" t="s">
        <v>439</v>
      </c>
      <c r="D50" s="75" t="s">
        <v>906</v>
      </c>
      <c r="E50" s="44" t="s">
        <v>900</v>
      </c>
      <c r="F50" s="46">
        <v>38700</v>
      </c>
      <c r="G50" s="60"/>
      <c r="H50" s="44"/>
      <c r="I50" s="60"/>
      <c r="J50" s="44"/>
      <c r="K50" s="60"/>
      <c r="L50" s="44"/>
      <c r="M50" s="60"/>
      <c r="N50" s="44"/>
      <c r="O50" s="44"/>
    </row>
    <row r="51" spans="2:15" s="48" customFormat="1" x14ac:dyDescent="0.25">
      <c r="B51" s="43">
        <v>47</v>
      </c>
      <c r="C51" s="44" t="s">
        <v>440</v>
      </c>
      <c r="D51" s="75" t="s">
        <v>906</v>
      </c>
      <c r="E51" s="44" t="s">
        <v>901</v>
      </c>
      <c r="F51" s="46">
        <v>69660</v>
      </c>
      <c r="G51" s="60"/>
      <c r="H51" s="44"/>
      <c r="I51" s="60"/>
      <c r="J51" s="44"/>
      <c r="K51" s="60"/>
      <c r="L51" s="44"/>
      <c r="M51" s="60"/>
      <c r="N51" s="44"/>
      <c r="O51" s="44"/>
    </row>
    <row r="52" spans="2:15" s="48" customFormat="1" x14ac:dyDescent="0.25">
      <c r="B52" s="43">
        <v>48</v>
      </c>
      <c r="C52" s="44" t="s">
        <v>441</v>
      </c>
      <c r="D52" s="75" t="s">
        <v>906</v>
      </c>
      <c r="E52" s="44" t="s">
        <v>902</v>
      </c>
      <c r="F52" s="46">
        <v>96750</v>
      </c>
      <c r="G52" s="60" t="s">
        <v>910</v>
      </c>
      <c r="H52" s="44"/>
      <c r="I52" s="60"/>
      <c r="J52" s="44"/>
      <c r="K52" s="60"/>
      <c r="L52" s="44"/>
      <c r="M52" s="60"/>
      <c r="N52" s="44"/>
      <c r="O52" s="44"/>
    </row>
    <row r="53" spans="2:15" s="48" customFormat="1" x14ac:dyDescent="0.25">
      <c r="B53" s="43">
        <v>49</v>
      </c>
      <c r="C53" s="44" t="s">
        <v>965</v>
      </c>
      <c r="D53" s="75" t="s">
        <v>907</v>
      </c>
      <c r="E53" s="44" t="s">
        <v>903</v>
      </c>
      <c r="F53" s="46">
        <v>2000</v>
      </c>
      <c r="G53" s="60"/>
      <c r="H53" s="44"/>
      <c r="I53" s="60"/>
      <c r="J53" s="44"/>
      <c r="K53" s="60"/>
      <c r="L53" s="44"/>
      <c r="M53" s="60"/>
      <c r="N53" s="44"/>
      <c r="O53" s="44"/>
    </row>
    <row r="54" spans="2:15" s="48" customFormat="1" x14ac:dyDescent="0.25">
      <c r="B54" s="43">
        <v>50</v>
      </c>
      <c r="C54" s="44" t="s">
        <v>443</v>
      </c>
      <c r="D54" s="75" t="s">
        <v>907</v>
      </c>
      <c r="E54" s="44" t="s">
        <v>904</v>
      </c>
      <c r="F54" s="46">
        <v>8800</v>
      </c>
      <c r="G54" s="60"/>
      <c r="H54" s="44"/>
      <c r="I54" s="60"/>
      <c r="J54" s="44"/>
      <c r="K54" s="60"/>
      <c r="L54" s="44"/>
      <c r="M54" s="60"/>
      <c r="N54" s="44"/>
      <c r="O54" s="44"/>
    </row>
    <row r="55" spans="2:15" s="48" customFormat="1" x14ac:dyDescent="0.25">
      <c r="B55" s="43">
        <v>51</v>
      </c>
      <c r="C55" s="44" t="s">
        <v>501</v>
      </c>
      <c r="D55" s="74" t="s">
        <v>918</v>
      </c>
      <c r="E55" s="44" t="s">
        <v>911</v>
      </c>
      <c r="F55" s="46">
        <v>19500</v>
      </c>
      <c r="G55" s="60" t="s">
        <v>922</v>
      </c>
      <c r="H55" s="44"/>
      <c r="I55" s="60"/>
      <c r="J55" s="44"/>
      <c r="K55" s="60"/>
      <c r="L55" s="44"/>
      <c r="M55" s="60"/>
      <c r="N55" s="44"/>
      <c r="O55" s="44"/>
    </row>
    <row r="56" spans="2:15" s="48" customFormat="1" x14ac:dyDescent="0.25">
      <c r="B56" s="43">
        <v>52</v>
      </c>
      <c r="C56" s="44" t="s">
        <v>445</v>
      </c>
      <c r="D56" s="74" t="s">
        <v>919</v>
      </c>
      <c r="E56" s="44" t="s">
        <v>912</v>
      </c>
      <c r="F56" s="46">
        <v>3125</v>
      </c>
      <c r="G56" s="60"/>
      <c r="H56" s="44"/>
      <c r="I56" s="60"/>
      <c r="J56" s="44"/>
      <c r="K56" s="60"/>
      <c r="L56" s="44"/>
      <c r="M56" s="60"/>
      <c r="N56" s="44"/>
      <c r="O56" s="44"/>
    </row>
    <row r="57" spans="2:15" s="48" customFormat="1" x14ac:dyDescent="0.25">
      <c r="B57" s="43">
        <v>53</v>
      </c>
      <c r="C57" s="44" t="s">
        <v>446</v>
      </c>
      <c r="D57" s="74" t="s">
        <v>919</v>
      </c>
      <c r="E57" s="44" t="s">
        <v>913</v>
      </c>
      <c r="F57" s="46">
        <v>2500</v>
      </c>
      <c r="G57" s="60"/>
      <c r="H57" s="44"/>
      <c r="I57" s="60"/>
      <c r="J57" s="44"/>
      <c r="K57" s="60"/>
      <c r="L57" s="44"/>
      <c r="M57" s="60"/>
      <c r="N57" s="44"/>
      <c r="O57" s="44"/>
    </row>
    <row r="58" spans="2:15" s="48" customFormat="1" x14ac:dyDescent="0.25">
      <c r="B58" s="43">
        <v>54</v>
      </c>
      <c r="C58" s="44" t="s">
        <v>444</v>
      </c>
      <c r="D58" s="74" t="s">
        <v>919</v>
      </c>
      <c r="E58" s="44" t="s">
        <v>914</v>
      </c>
      <c r="F58" s="46">
        <v>3000</v>
      </c>
      <c r="G58" s="60" t="s">
        <v>923</v>
      </c>
      <c r="H58" s="44"/>
      <c r="I58" s="60"/>
      <c r="J58" s="44"/>
      <c r="K58" s="60"/>
      <c r="L58" s="44"/>
      <c r="M58" s="60"/>
      <c r="N58" s="44"/>
      <c r="O58" s="44"/>
    </row>
    <row r="59" spans="2:15" s="48" customFormat="1" x14ac:dyDescent="0.25">
      <c r="B59" s="43">
        <v>55</v>
      </c>
      <c r="C59" s="44" t="s">
        <v>448</v>
      </c>
      <c r="D59" s="74" t="s">
        <v>920</v>
      </c>
      <c r="E59" s="44" t="s">
        <v>913</v>
      </c>
      <c r="F59" s="46">
        <v>2755</v>
      </c>
      <c r="G59" s="60" t="s">
        <v>924</v>
      </c>
      <c r="H59" s="44"/>
      <c r="I59" s="60"/>
      <c r="J59" s="44"/>
      <c r="K59" s="60"/>
      <c r="L59" s="44"/>
      <c r="M59" s="60"/>
      <c r="N59" s="44"/>
      <c r="O59" s="44"/>
    </row>
    <row r="60" spans="2:15" s="48" customFormat="1" x14ac:dyDescent="0.25">
      <c r="B60" s="43">
        <v>56</v>
      </c>
      <c r="C60" s="44" t="s">
        <v>449</v>
      </c>
      <c r="D60" s="74" t="s">
        <v>920</v>
      </c>
      <c r="E60" s="44" t="s">
        <v>915</v>
      </c>
      <c r="F60" s="46">
        <v>5510</v>
      </c>
      <c r="G60" s="60" t="s">
        <v>924</v>
      </c>
      <c r="H60" s="44"/>
      <c r="I60" s="60"/>
      <c r="J60" s="44"/>
      <c r="K60" s="60"/>
      <c r="L60" s="44"/>
      <c r="M60" s="60"/>
      <c r="N60" s="44"/>
      <c r="O60" s="44"/>
    </row>
    <row r="61" spans="2:15" s="48" customFormat="1" x14ac:dyDescent="0.25">
      <c r="B61" s="43">
        <v>57</v>
      </c>
      <c r="C61" s="44" t="s">
        <v>447</v>
      </c>
      <c r="D61" s="74" t="s">
        <v>920</v>
      </c>
      <c r="E61" s="44" t="s">
        <v>911</v>
      </c>
      <c r="F61" s="46">
        <v>4370</v>
      </c>
      <c r="G61" s="60" t="s">
        <v>924</v>
      </c>
      <c r="H61" s="44"/>
      <c r="I61" s="60"/>
      <c r="J61" s="44"/>
      <c r="K61" s="60"/>
      <c r="L61" s="44"/>
      <c r="M61" s="60"/>
      <c r="N61" s="44"/>
      <c r="O61" s="44"/>
    </row>
    <row r="62" spans="2:15" s="48" customFormat="1" x14ac:dyDescent="0.25">
      <c r="B62" s="43">
        <v>58</v>
      </c>
      <c r="C62" s="44" t="s">
        <v>450</v>
      </c>
      <c r="D62" s="74" t="s">
        <v>920</v>
      </c>
      <c r="E62" s="44" t="s">
        <v>861</v>
      </c>
      <c r="F62" s="46">
        <v>8740</v>
      </c>
      <c r="G62" s="60" t="s">
        <v>924</v>
      </c>
      <c r="H62" s="44"/>
      <c r="I62" s="60"/>
      <c r="J62" s="44"/>
      <c r="K62" s="60"/>
      <c r="L62" s="44"/>
      <c r="M62" s="60"/>
      <c r="N62" s="44"/>
      <c r="O62" s="44"/>
    </row>
    <row r="63" spans="2:15" s="48" customFormat="1" x14ac:dyDescent="0.25">
      <c r="B63" s="43">
        <v>59</v>
      </c>
      <c r="C63" s="44" t="s">
        <v>451</v>
      </c>
      <c r="D63" s="74" t="s">
        <v>921</v>
      </c>
      <c r="E63" s="44" t="s">
        <v>916</v>
      </c>
      <c r="F63" s="46">
        <v>6500</v>
      </c>
      <c r="G63" s="60"/>
      <c r="H63" s="46">
        <v>4500</v>
      </c>
      <c r="I63" s="60" t="s">
        <v>925</v>
      </c>
      <c r="J63" s="44"/>
      <c r="K63" s="60"/>
      <c r="L63" s="44"/>
      <c r="M63" s="60"/>
      <c r="N63" s="44"/>
      <c r="O63" s="44"/>
    </row>
    <row r="64" spans="2:15" s="48" customFormat="1" x14ac:dyDescent="0.25">
      <c r="B64" s="43">
        <v>60</v>
      </c>
      <c r="C64" s="44" t="s">
        <v>452</v>
      </c>
      <c r="D64" s="74" t="s">
        <v>921</v>
      </c>
      <c r="E64" s="44" t="s">
        <v>917</v>
      </c>
      <c r="F64" s="46">
        <v>3250</v>
      </c>
      <c r="G64" s="60"/>
      <c r="H64" s="44"/>
      <c r="I64" s="60"/>
      <c r="J64" s="44"/>
      <c r="K64" s="60"/>
      <c r="L64" s="44"/>
      <c r="M64" s="60"/>
      <c r="N64" s="44"/>
      <c r="O64" s="44"/>
    </row>
    <row r="65" spans="2:15" s="48" customFormat="1" x14ac:dyDescent="0.25">
      <c r="B65" s="43">
        <v>61</v>
      </c>
      <c r="C65" s="44" t="s">
        <v>453</v>
      </c>
      <c r="D65" s="74" t="s">
        <v>921</v>
      </c>
      <c r="E65" s="44" t="s">
        <v>926</v>
      </c>
      <c r="F65" s="46">
        <v>1100</v>
      </c>
      <c r="G65" s="60"/>
      <c r="H65" s="44"/>
      <c r="I65" s="60"/>
      <c r="J65" s="44"/>
      <c r="K65" s="60"/>
      <c r="L65" s="44"/>
      <c r="M65" s="60"/>
      <c r="N65" s="44"/>
      <c r="O65" s="44"/>
    </row>
    <row r="66" spans="2:15" s="48" customFormat="1" x14ac:dyDescent="0.25">
      <c r="B66" s="43">
        <v>62</v>
      </c>
      <c r="C66" s="44" t="s">
        <v>454</v>
      </c>
      <c r="D66" s="74" t="s">
        <v>932</v>
      </c>
      <c r="E66" s="44" t="s">
        <v>927</v>
      </c>
      <c r="F66" s="46">
        <v>1614</v>
      </c>
      <c r="G66" s="60"/>
      <c r="H66" s="44"/>
      <c r="I66" s="60"/>
      <c r="J66" s="44"/>
      <c r="K66" s="60"/>
      <c r="L66" s="44"/>
      <c r="M66" s="60"/>
      <c r="N66" s="44"/>
      <c r="O66" s="44"/>
    </row>
    <row r="67" spans="2:15" s="48" customFormat="1" x14ac:dyDescent="0.25">
      <c r="B67" s="43">
        <v>63</v>
      </c>
      <c r="C67" s="44" t="s">
        <v>455</v>
      </c>
      <c r="D67" s="74" t="s">
        <v>932</v>
      </c>
      <c r="E67" s="44" t="s">
        <v>928</v>
      </c>
      <c r="F67" s="46">
        <v>3228</v>
      </c>
      <c r="G67" s="60"/>
      <c r="H67" s="44"/>
      <c r="I67" s="60"/>
      <c r="J67" s="44"/>
      <c r="K67" s="60"/>
      <c r="L67" s="44"/>
      <c r="M67" s="60"/>
      <c r="N67" s="44"/>
      <c r="O67" s="44"/>
    </row>
    <row r="68" spans="2:15" s="48" customFormat="1" x14ac:dyDescent="0.25">
      <c r="B68" s="43">
        <v>64</v>
      </c>
      <c r="C68" s="44" t="s">
        <v>456</v>
      </c>
      <c r="D68" s="74" t="s">
        <v>921</v>
      </c>
      <c r="E68" s="44" t="s">
        <v>929</v>
      </c>
      <c r="F68" s="46">
        <v>6456</v>
      </c>
      <c r="G68" s="60"/>
      <c r="H68" s="44"/>
      <c r="I68" s="60"/>
      <c r="J68" s="44"/>
      <c r="K68" s="60"/>
      <c r="L68" s="44"/>
      <c r="M68" s="60"/>
      <c r="N68" s="44"/>
      <c r="O68" s="44"/>
    </row>
    <row r="69" spans="2:15" s="48" customFormat="1" x14ac:dyDescent="0.25">
      <c r="B69" s="43">
        <v>65</v>
      </c>
      <c r="C69" s="44" t="s">
        <v>502</v>
      </c>
      <c r="D69" s="74" t="s">
        <v>933</v>
      </c>
      <c r="E69" s="44" t="s">
        <v>916</v>
      </c>
      <c r="F69" s="46">
        <v>6500</v>
      </c>
      <c r="G69" s="60"/>
      <c r="H69" s="46">
        <v>4500</v>
      </c>
      <c r="I69" s="60" t="s">
        <v>925</v>
      </c>
      <c r="J69" s="44"/>
      <c r="K69" s="60"/>
      <c r="L69" s="44"/>
      <c r="M69" s="60"/>
      <c r="N69" s="44"/>
      <c r="O69" s="44"/>
    </row>
    <row r="70" spans="2:15" s="48" customFormat="1" x14ac:dyDescent="0.25">
      <c r="B70" s="43">
        <v>66</v>
      </c>
      <c r="C70" s="44" t="s">
        <v>503</v>
      </c>
      <c r="D70" s="74" t="s">
        <v>934</v>
      </c>
      <c r="E70" s="44" t="s">
        <v>917</v>
      </c>
      <c r="F70" s="46">
        <v>2175</v>
      </c>
      <c r="G70" s="60"/>
      <c r="H70" s="44"/>
      <c r="I70" s="60"/>
      <c r="J70" s="44"/>
      <c r="K70" s="60"/>
      <c r="L70" s="44"/>
      <c r="M70" s="60"/>
      <c r="N70" s="44"/>
      <c r="O70" s="44"/>
    </row>
    <row r="71" spans="2:15" s="48" customFormat="1" x14ac:dyDescent="0.25">
      <c r="B71" s="43">
        <v>67</v>
      </c>
      <c r="C71" s="44" t="s">
        <v>504</v>
      </c>
      <c r="D71" s="74" t="s">
        <v>935</v>
      </c>
      <c r="E71" s="44" t="s">
        <v>930</v>
      </c>
      <c r="F71" s="46">
        <v>5800</v>
      </c>
      <c r="G71" s="60"/>
      <c r="H71" s="44"/>
      <c r="I71" s="60"/>
      <c r="J71" s="44"/>
      <c r="K71" s="60"/>
      <c r="L71" s="44"/>
      <c r="M71" s="60"/>
      <c r="N71" s="44"/>
      <c r="O71" s="44"/>
    </row>
    <row r="72" spans="2:15" s="48" customFormat="1" x14ac:dyDescent="0.25">
      <c r="B72" s="43">
        <v>68</v>
      </c>
      <c r="C72" s="44" t="s">
        <v>505</v>
      </c>
      <c r="D72" s="74" t="s">
        <v>936</v>
      </c>
      <c r="E72" s="44" t="s">
        <v>931</v>
      </c>
      <c r="F72" s="46">
        <v>3700</v>
      </c>
      <c r="G72" s="60"/>
      <c r="H72" s="44"/>
      <c r="I72" s="60"/>
      <c r="J72" s="44"/>
      <c r="K72" s="60"/>
      <c r="L72" s="44"/>
      <c r="M72" s="60"/>
      <c r="N72" s="44"/>
      <c r="O72" s="44"/>
    </row>
    <row r="73" spans="2:15" s="48" customFormat="1" x14ac:dyDescent="0.25">
      <c r="B73" s="43">
        <v>69</v>
      </c>
      <c r="C73" s="44" t="s">
        <v>738</v>
      </c>
      <c r="D73" s="74" t="s">
        <v>939</v>
      </c>
      <c r="E73" s="44" t="s">
        <v>937</v>
      </c>
      <c r="F73" s="46">
        <v>810</v>
      </c>
      <c r="G73" s="60" t="s">
        <v>942</v>
      </c>
      <c r="H73" s="44"/>
      <c r="I73" s="60"/>
      <c r="J73" s="44"/>
      <c r="K73" s="60"/>
      <c r="L73" s="44"/>
      <c r="M73" s="60"/>
      <c r="N73" s="44"/>
      <c r="O73" s="44"/>
    </row>
    <row r="74" spans="2:15" s="48" customFormat="1" x14ac:dyDescent="0.25">
      <c r="B74" s="43">
        <v>70</v>
      </c>
      <c r="C74" s="44" t="s">
        <v>739</v>
      </c>
      <c r="D74" s="74" t="s">
        <v>939</v>
      </c>
      <c r="E74" s="44" t="s">
        <v>903</v>
      </c>
      <c r="F74" s="46">
        <v>2160</v>
      </c>
      <c r="G74" s="60" t="s">
        <v>942</v>
      </c>
      <c r="H74" s="44"/>
      <c r="I74" s="60"/>
      <c r="J74" s="44"/>
      <c r="K74" s="60"/>
      <c r="L74" s="44"/>
      <c r="M74" s="60"/>
      <c r="N74" s="44"/>
      <c r="O74" s="44"/>
    </row>
    <row r="75" spans="2:15" s="48" customFormat="1" x14ac:dyDescent="0.25">
      <c r="B75" s="43">
        <v>71</v>
      </c>
      <c r="C75" s="44" t="s">
        <v>740</v>
      </c>
      <c r="D75" s="74" t="s">
        <v>939</v>
      </c>
      <c r="E75" s="44" t="s">
        <v>938</v>
      </c>
      <c r="F75" s="46">
        <v>4320</v>
      </c>
      <c r="G75" s="60" t="s">
        <v>942</v>
      </c>
      <c r="H75" s="44"/>
      <c r="I75" s="60"/>
      <c r="J75" s="44"/>
      <c r="K75" s="60"/>
      <c r="L75" s="44"/>
      <c r="M75" s="60"/>
      <c r="N75" s="44"/>
      <c r="O75" s="44"/>
    </row>
    <row r="76" spans="2:15" s="48" customFormat="1" x14ac:dyDescent="0.25">
      <c r="B76" s="43">
        <v>72</v>
      </c>
      <c r="C76" s="44" t="s">
        <v>741</v>
      </c>
      <c r="D76" s="74" t="s">
        <v>940</v>
      </c>
      <c r="E76" s="44" t="s">
        <v>937</v>
      </c>
      <c r="F76" s="46">
        <v>810</v>
      </c>
      <c r="G76" s="60" t="s">
        <v>942</v>
      </c>
      <c r="H76" s="44"/>
      <c r="I76" s="60"/>
      <c r="J76" s="44"/>
      <c r="K76" s="60"/>
      <c r="L76" s="44"/>
      <c r="M76" s="60"/>
      <c r="N76" s="44"/>
      <c r="O76" s="44"/>
    </row>
    <row r="77" spans="2:15" s="48" customFormat="1" x14ac:dyDescent="0.25">
      <c r="B77" s="43">
        <v>73</v>
      </c>
      <c r="C77" s="44" t="s">
        <v>742</v>
      </c>
      <c r="D77" s="74" t="s">
        <v>940</v>
      </c>
      <c r="E77" s="44" t="s">
        <v>903</v>
      </c>
      <c r="F77" s="46">
        <v>2160</v>
      </c>
      <c r="G77" s="60" t="s">
        <v>942</v>
      </c>
      <c r="H77" s="44"/>
      <c r="I77" s="60"/>
      <c r="J77" s="44"/>
      <c r="K77" s="60"/>
      <c r="L77" s="44"/>
      <c r="M77" s="60"/>
      <c r="N77" s="44"/>
      <c r="O77" s="44"/>
    </row>
    <row r="78" spans="2:15" s="48" customFormat="1" x14ac:dyDescent="0.25">
      <c r="B78" s="43">
        <v>74</v>
      </c>
      <c r="C78" s="44" t="s">
        <v>743</v>
      </c>
      <c r="D78" s="74" t="s">
        <v>941</v>
      </c>
      <c r="E78" s="44" t="s">
        <v>937</v>
      </c>
      <c r="F78" s="46">
        <v>810</v>
      </c>
      <c r="G78" s="60" t="s">
        <v>942</v>
      </c>
      <c r="H78" s="44"/>
      <c r="I78" s="60"/>
      <c r="J78" s="44"/>
      <c r="K78" s="60"/>
      <c r="L78" s="44"/>
      <c r="M78" s="60"/>
      <c r="N78" s="44"/>
      <c r="O78" s="44"/>
    </row>
    <row r="79" spans="2:15" s="48" customFormat="1" x14ac:dyDescent="0.25">
      <c r="B79" s="56">
        <v>75</v>
      </c>
      <c r="C79" s="44" t="s">
        <v>744</v>
      </c>
      <c r="D79" s="74" t="s">
        <v>941</v>
      </c>
      <c r="E79" s="44" t="s">
        <v>903</v>
      </c>
      <c r="F79" s="46">
        <v>2160</v>
      </c>
      <c r="G79" s="60" t="s">
        <v>942</v>
      </c>
      <c r="H79" s="44"/>
      <c r="I79" s="60"/>
      <c r="J79" s="44"/>
      <c r="K79" s="60"/>
      <c r="L79" s="44"/>
      <c r="M79" s="60"/>
      <c r="N79" s="44"/>
      <c r="O79" s="44"/>
    </row>
    <row r="80" spans="2:15" s="48" customFormat="1" x14ac:dyDescent="0.25">
      <c r="B80" s="43">
        <v>76</v>
      </c>
      <c r="C80" s="44" t="s">
        <v>460</v>
      </c>
      <c r="D80" s="74" t="s">
        <v>950</v>
      </c>
      <c r="E80" s="44" t="s">
        <v>943</v>
      </c>
      <c r="F80" s="46">
        <v>970</v>
      </c>
      <c r="G80" s="60"/>
      <c r="H80" s="44"/>
      <c r="I80" s="60"/>
      <c r="J80" s="44"/>
      <c r="K80" s="60"/>
      <c r="L80" s="44"/>
      <c r="M80" s="60"/>
      <c r="N80" s="44"/>
      <c r="O80" s="44"/>
    </row>
    <row r="81" spans="2:15" s="48" customFormat="1" x14ac:dyDescent="0.25">
      <c r="B81" s="43">
        <v>77</v>
      </c>
      <c r="C81" s="44" t="s">
        <v>461</v>
      </c>
      <c r="D81" s="74" t="s">
        <v>950</v>
      </c>
      <c r="E81" s="44" t="s">
        <v>944</v>
      </c>
      <c r="F81" s="46">
        <v>895</v>
      </c>
      <c r="G81" s="60"/>
      <c r="H81" s="44"/>
      <c r="I81" s="60"/>
      <c r="J81" s="44"/>
      <c r="K81" s="60"/>
      <c r="L81" s="44"/>
      <c r="M81" s="60"/>
      <c r="N81" s="44"/>
      <c r="O81" s="44"/>
    </row>
    <row r="82" spans="2:15" s="48" customFormat="1" x14ac:dyDescent="0.25">
      <c r="B82" s="43">
        <v>78</v>
      </c>
      <c r="C82" s="44" t="s">
        <v>727</v>
      </c>
      <c r="D82" s="74" t="s">
        <v>950</v>
      </c>
      <c r="E82" s="44" t="s">
        <v>945</v>
      </c>
      <c r="F82" s="46">
        <v>3500</v>
      </c>
      <c r="G82" s="60" t="s">
        <v>942</v>
      </c>
      <c r="H82" s="44"/>
      <c r="I82" s="60"/>
      <c r="J82" s="44"/>
      <c r="K82" s="60"/>
      <c r="L82" s="44"/>
      <c r="M82" s="60"/>
      <c r="N82" s="44"/>
      <c r="O82" s="44"/>
    </row>
    <row r="83" spans="2:15" s="48" customFormat="1" x14ac:dyDescent="0.25">
      <c r="B83" s="43">
        <v>79</v>
      </c>
      <c r="C83" s="44" t="s">
        <v>462</v>
      </c>
      <c r="D83" s="74" t="s">
        <v>950</v>
      </c>
      <c r="E83" s="44" t="s">
        <v>887</v>
      </c>
      <c r="F83" s="46">
        <v>1300</v>
      </c>
      <c r="G83" s="60"/>
      <c r="H83" s="44"/>
      <c r="I83" s="60"/>
      <c r="J83" s="44"/>
      <c r="K83" s="60"/>
      <c r="L83" s="44"/>
      <c r="M83" s="60"/>
      <c r="N83" s="44"/>
      <c r="O83" s="44"/>
    </row>
    <row r="84" spans="2:15" s="48" customFormat="1" x14ac:dyDescent="0.25">
      <c r="B84" s="43">
        <v>80</v>
      </c>
      <c r="C84" s="44" t="s">
        <v>463</v>
      </c>
      <c r="D84" s="74" t="s">
        <v>950</v>
      </c>
      <c r="E84" s="44" t="s">
        <v>946</v>
      </c>
      <c r="F84" s="46">
        <v>1900</v>
      </c>
      <c r="G84" s="60"/>
      <c r="H84" s="44"/>
      <c r="I84" s="60"/>
      <c r="J84" s="44"/>
      <c r="K84" s="60"/>
      <c r="L84" s="44"/>
      <c r="M84" s="60"/>
      <c r="N84" s="44"/>
      <c r="O84" s="44"/>
    </row>
    <row r="85" spans="2:15" s="48" customFormat="1" x14ac:dyDescent="0.25">
      <c r="B85" s="43">
        <v>81</v>
      </c>
      <c r="C85" s="44" t="s">
        <v>464</v>
      </c>
      <c r="D85" s="74" t="s">
        <v>950</v>
      </c>
      <c r="E85" s="44" t="s">
        <v>947</v>
      </c>
      <c r="F85" s="46">
        <v>3800</v>
      </c>
      <c r="G85" s="60"/>
      <c r="H85" s="44"/>
      <c r="I85" s="60"/>
      <c r="J85" s="44"/>
      <c r="K85" s="60"/>
      <c r="L85" s="44"/>
      <c r="M85" s="60"/>
      <c r="N85" s="44"/>
      <c r="O85" s="44"/>
    </row>
    <row r="86" spans="2:15" s="48" customFormat="1" x14ac:dyDescent="0.25">
      <c r="B86" s="43">
        <v>82</v>
      </c>
      <c r="C86" s="44" t="s">
        <v>465</v>
      </c>
      <c r="D86" s="74" t="s">
        <v>950</v>
      </c>
      <c r="E86" s="44" t="s">
        <v>948</v>
      </c>
      <c r="F86" s="46">
        <v>1450</v>
      </c>
      <c r="G86" s="60"/>
      <c r="H86" s="44"/>
      <c r="I86" s="60"/>
      <c r="J86" s="44"/>
      <c r="K86" s="60"/>
      <c r="L86" s="44"/>
      <c r="M86" s="60"/>
      <c r="N86" s="44"/>
      <c r="O86" s="44"/>
    </row>
    <row r="87" spans="2:15" s="48" customFormat="1" x14ac:dyDescent="0.25">
      <c r="B87" s="43">
        <v>83</v>
      </c>
      <c r="C87" s="44" t="s">
        <v>427</v>
      </c>
      <c r="D87" s="74" t="s">
        <v>950</v>
      </c>
      <c r="E87" s="44" t="s">
        <v>913</v>
      </c>
      <c r="F87" s="46">
        <v>2900</v>
      </c>
      <c r="G87" s="60"/>
      <c r="H87" s="44"/>
      <c r="I87" s="60"/>
      <c r="J87" s="44"/>
      <c r="K87" s="60"/>
      <c r="L87" s="44"/>
      <c r="M87" s="60"/>
      <c r="N87" s="44"/>
      <c r="O87" s="44"/>
    </row>
    <row r="88" spans="2:15" s="48" customFormat="1" x14ac:dyDescent="0.25">
      <c r="B88" s="43">
        <v>84</v>
      </c>
      <c r="C88" s="44" t="s">
        <v>426</v>
      </c>
      <c r="D88" s="74" t="s">
        <v>950</v>
      </c>
      <c r="E88" s="44" t="s">
        <v>915</v>
      </c>
      <c r="F88" s="46">
        <v>5800</v>
      </c>
      <c r="G88" s="60"/>
      <c r="H88" s="44"/>
      <c r="I88" s="60"/>
      <c r="J88" s="44"/>
      <c r="K88" s="60"/>
      <c r="L88" s="44"/>
      <c r="M88" s="60"/>
      <c r="N88" s="44"/>
      <c r="O88" s="44"/>
    </row>
    <row r="89" spans="2:15" s="48" customFormat="1" x14ac:dyDescent="0.25">
      <c r="B89" s="43">
        <v>85</v>
      </c>
      <c r="C89" s="44" t="s">
        <v>466</v>
      </c>
      <c r="D89" s="74" t="s">
        <v>950</v>
      </c>
      <c r="E89" s="44" t="s">
        <v>949</v>
      </c>
      <c r="F89" s="46">
        <v>11600</v>
      </c>
      <c r="G89" s="79" t="s">
        <v>951</v>
      </c>
      <c r="H89" s="44"/>
      <c r="I89" s="60"/>
      <c r="J89" s="44"/>
      <c r="K89" s="60"/>
      <c r="L89" s="44"/>
      <c r="M89" s="60"/>
      <c r="N89" s="44"/>
      <c r="O89" s="44"/>
    </row>
    <row r="90" spans="2:15" s="48" customFormat="1" x14ac:dyDescent="0.25">
      <c r="B90" s="43">
        <v>86</v>
      </c>
      <c r="C90" s="44" t="s">
        <v>467</v>
      </c>
      <c r="D90" s="74" t="s">
        <v>950</v>
      </c>
      <c r="E90" s="44" t="s">
        <v>952</v>
      </c>
      <c r="F90" s="46">
        <v>2500</v>
      </c>
      <c r="G90" s="60"/>
      <c r="H90" s="44"/>
      <c r="I90" s="60"/>
      <c r="J90" s="44"/>
      <c r="K90" s="60"/>
      <c r="L90" s="44"/>
      <c r="M90" s="60"/>
      <c r="N90" s="44"/>
      <c r="O90" s="44"/>
    </row>
    <row r="91" spans="2:15" s="48" customFormat="1" x14ac:dyDescent="0.25">
      <c r="B91" s="43">
        <v>87</v>
      </c>
      <c r="C91" s="44" t="s">
        <v>468</v>
      </c>
      <c r="D91" s="74" t="s">
        <v>950</v>
      </c>
      <c r="E91" s="44" t="s">
        <v>953</v>
      </c>
      <c r="F91" s="46">
        <v>5000</v>
      </c>
      <c r="G91" s="60"/>
      <c r="H91" s="44"/>
      <c r="I91" s="60"/>
      <c r="J91" s="44"/>
      <c r="K91" s="60"/>
      <c r="L91" s="44"/>
      <c r="M91" s="60"/>
      <c r="N91" s="44"/>
      <c r="O91" s="44"/>
    </row>
    <row r="92" spans="2:15" s="48" customFormat="1" x14ac:dyDescent="0.25">
      <c r="B92" s="43">
        <v>88</v>
      </c>
      <c r="C92" s="44" t="s">
        <v>469</v>
      </c>
      <c r="D92" s="74" t="s">
        <v>950</v>
      </c>
      <c r="E92" s="44" t="s">
        <v>911</v>
      </c>
      <c r="F92" s="46">
        <v>4600</v>
      </c>
      <c r="G92" s="60"/>
      <c r="H92" s="44"/>
      <c r="I92" s="60"/>
      <c r="J92" s="44"/>
      <c r="K92" s="60"/>
      <c r="L92" s="44"/>
      <c r="M92" s="60"/>
      <c r="N92" s="44"/>
      <c r="O92" s="44"/>
    </row>
    <row r="93" spans="2:15" s="48" customFormat="1" x14ac:dyDescent="0.25">
      <c r="B93" s="43">
        <v>89</v>
      </c>
      <c r="C93" s="44" t="s">
        <v>470</v>
      </c>
      <c r="D93" s="74" t="s">
        <v>950</v>
      </c>
      <c r="E93" s="44" t="s">
        <v>861</v>
      </c>
      <c r="F93" s="46">
        <v>9200</v>
      </c>
      <c r="G93" s="60"/>
      <c r="H93" s="44"/>
      <c r="I93" s="60"/>
      <c r="J93" s="44"/>
      <c r="K93" s="60"/>
      <c r="L93" s="44"/>
      <c r="M93" s="60"/>
      <c r="N93" s="44"/>
      <c r="O93" s="44"/>
    </row>
    <row r="94" spans="2:15" s="48" customFormat="1" x14ac:dyDescent="0.25">
      <c r="B94" s="43">
        <v>90</v>
      </c>
      <c r="C94" s="44" t="s">
        <v>471</v>
      </c>
      <c r="D94" s="74" t="s">
        <v>950</v>
      </c>
      <c r="E94" s="44" t="s">
        <v>954</v>
      </c>
      <c r="F94" s="46">
        <v>1838</v>
      </c>
      <c r="G94" s="60"/>
      <c r="H94" s="44"/>
      <c r="I94" s="60"/>
      <c r="J94" s="44"/>
      <c r="K94" s="60"/>
      <c r="L94" s="44"/>
      <c r="M94" s="60"/>
      <c r="N94" s="44"/>
      <c r="O94" s="44"/>
    </row>
    <row r="95" spans="2:15" s="48" customFormat="1" x14ac:dyDescent="0.25">
      <c r="B95" s="43">
        <v>91</v>
      </c>
      <c r="C95" s="44" t="s">
        <v>472</v>
      </c>
      <c r="D95" s="74" t="s">
        <v>950</v>
      </c>
      <c r="E95" s="44" t="s">
        <v>931</v>
      </c>
      <c r="F95" s="46">
        <v>3675</v>
      </c>
      <c r="G95" s="60"/>
      <c r="H95" s="46">
        <v>4100</v>
      </c>
      <c r="I95" s="60" t="s">
        <v>962</v>
      </c>
      <c r="J95" s="44"/>
      <c r="K95" s="60"/>
      <c r="L95" s="44"/>
      <c r="M95" s="60"/>
      <c r="N95" s="44"/>
      <c r="O95" s="44"/>
    </row>
    <row r="96" spans="2:15" s="48" customFormat="1" x14ac:dyDescent="0.25">
      <c r="B96" s="43">
        <v>92</v>
      </c>
      <c r="C96" s="44" t="s">
        <v>473</v>
      </c>
      <c r="D96" s="74" t="s">
        <v>950</v>
      </c>
      <c r="E96" s="44" t="s">
        <v>955</v>
      </c>
      <c r="F96" s="46">
        <v>7350</v>
      </c>
      <c r="G96" s="60"/>
      <c r="H96" s="44"/>
      <c r="I96" s="60"/>
      <c r="J96" s="44"/>
      <c r="K96" s="60"/>
      <c r="L96" s="44"/>
      <c r="M96" s="60"/>
      <c r="N96" s="44"/>
      <c r="O96" s="44"/>
    </row>
    <row r="97" spans="2:15" s="48" customFormat="1" x14ac:dyDescent="0.25">
      <c r="B97" s="43">
        <v>93</v>
      </c>
      <c r="C97" s="44" t="s">
        <v>474</v>
      </c>
      <c r="D97" s="74" t="s">
        <v>950</v>
      </c>
      <c r="E97" s="44" t="s">
        <v>956</v>
      </c>
      <c r="F97" s="46">
        <v>1395</v>
      </c>
      <c r="G97" s="60"/>
      <c r="H97" s="44"/>
      <c r="I97" s="60"/>
      <c r="J97" s="44"/>
      <c r="K97" s="60"/>
      <c r="L97" s="44"/>
      <c r="M97" s="60"/>
      <c r="N97" s="44"/>
      <c r="O97" s="44"/>
    </row>
    <row r="98" spans="2:15" s="48" customFormat="1" x14ac:dyDescent="0.25">
      <c r="B98" s="43">
        <v>94</v>
      </c>
      <c r="C98" s="44" t="s">
        <v>475</v>
      </c>
      <c r="D98" s="74" t="s">
        <v>950</v>
      </c>
      <c r="E98" s="44" t="s">
        <v>957</v>
      </c>
      <c r="F98" s="46">
        <v>4150</v>
      </c>
      <c r="G98" s="60"/>
      <c r="H98" s="44"/>
      <c r="I98" s="60"/>
      <c r="J98" s="44"/>
      <c r="K98" s="60"/>
      <c r="L98" s="44"/>
      <c r="M98" s="60"/>
      <c r="N98" s="44"/>
      <c r="O98" s="44"/>
    </row>
    <row r="99" spans="2:15" s="48" customFormat="1" x14ac:dyDescent="0.25">
      <c r="B99" s="43">
        <v>95</v>
      </c>
      <c r="C99" s="44" t="s">
        <v>476</v>
      </c>
      <c r="D99" s="74" t="s">
        <v>950</v>
      </c>
      <c r="E99" s="44" t="s">
        <v>958</v>
      </c>
      <c r="F99" s="46">
        <v>5500</v>
      </c>
      <c r="G99" s="60"/>
      <c r="H99" s="44"/>
      <c r="I99" s="60"/>
      <c r="J99" s="44"/>
      <c r="K99" s="60"/>
      <c r="L99" s="44"/>
      <c r="M99" s="60"/>
      <c r="N99" s="44"/>
      <c r="O99" s="44"/>
    </row>
    <row r="100" spans="2:15" s="48" customFormat="1" x14ac:dyDescent="0.25">
      <c r="B100" s="43">
        <v>96</v>
      </c>
      <c r="C100" s="44" t="s">
        <v>477</v>
      </c>
      <c r="D100" s="74" t="s">
        <v>950</v>
      </c>
      <c r="E100" s="44" t="s">
        <v>875</v>
      </c>
      <c r="F100" s="46">
        <v>11000</v>
      </c>
      <c r="G100" s="60"/>
      <c r="H100" s="44"/>
      <c r="I100" s="60"/>
      <c r="J100" s="44"/>
      <c r="K100" s="60"/>
      <c r="L100" s="44"/>
      <c r="M100" s="60"/>
      <c r="N100" s="44"/>
      <c r="O100" s="44"/>
    </row>
    <row r="101" spans="2:15" s="48" customFormat="1" x14ac:dyDescent="0.25">
      <c r="B101" s="43">
        <v>97</v>
      </c>
      <c r="C101" s="44" t="s">
        <v>478</v>
      </c>
      <c r="D101" s="74" t="s">
        <v>950</v>
      </c>
      <c r="E101" s="44" t="s">
        <v>879</v>
      </c>
      <c r="F101" s="46">
        <v>16500</v>
      </c>
      <c r="G101" s="60"/>
      <c r="H101" s="44"/>
      <c r="I101" s="60"/>
      <c r="J101" s="44"/>
      <c r="K101" s="60"/>
      <c r="L101" s="44"/>
      <c r="M101" s="60"/>
      <c r="N101" s="44"/>
      <c r="O101" s="44"/>
    </row>
    <row r="102" spans="2:15" s="48" customFormat="1" x14ac:dyDescent="0.25">
      <c r="B102" s="43">
        <v>98</v>
      </c>
      <c r="C102" s="44" t="s">
        <v>479</v>
      </c>
      <c r="D102" s="74" t="s">
        <v>950</v>
      </c>
      <c r="E102" s="44" t="s">
        <v>959</v>
      </c>
      <c r="F102" s="46">
        <v>4500</v>
      </c>
      <c r="G102" s="60"/>
      <c r="H102" s="44"/>
      <c r="I102" s="60"/>
      <c r="J102" s="44"/>
      <c r="K102" s="60"/>
      <c r="L102" s="44"/>
      <c r="M102" s="60"/>
      <c r="N102" s="44"/>
      <c r="O102" s="44"/>
    </row>
    <row r="103" spans="2:15" s="48" customFormat="1" x14ac:dyDescent="0.25">
      <c r="B103" s="43">
        <v>99</v>
      </c>
      <c r="C103" s="44" t="s">
        <v>480</v>
      </c>
      <c r="D103" s="74" t="s">
        <v>950</v>
      </c>
      <c r="E103" s="44" t="s">
        <v>960</v>
      </c>
      <c r="F103" s="46">
        <v>6000</v>
      </c>
      <c r="G103" s="60"/>
      <c r="H103" s="44"/>
      <c r="I103" s="60"/>
      <c r="J103" s="44"/>
      <c r="K103" s="60"/>
      <c r="L103" s="44"/>
      <c r="M103" s="60"/>
      <c r="N103" s="44"/>
      <c r="O103" s="44"/>
    </row>
    <row r="104" spans="2:15" s="48" customFormat="1" x14ac:dyDescent="0.25">
      <c r="B104" s="43">
        <v>100</v>
      </c>
      <c r="C104" s="44" t="s">
        <v>481</v>
      </c>
      <c r="D104" s="74" t="s">
        <v>950</v>
      </c>
      <c r="E104" s="44" t="s">
        <v>961</v>
      </c>
      <c r="F104" s="46">
        <v>12000</v>
      </c>
      <c r="G104" s="60"/>
      <c r="H104" s="44"/>
      <c r="I104" s="60"/>
      <c r="J104" s="44"/>
      <c r="K104" s="60"/>
      <c r="L104" s="44"/>
      <c r="M104" s="60"/>
      <c r="N104" s="44"/>
      <c r="O104" s="44"/>
    </row>
    <row r="105" spans="2:15" s="48" customFormat="1" x14ac:dyDescent="0.25">
      <c r="B105" s="43">
        <v>101</v>
      </c>
      <c r="C105" s="44" t="s">
        <v>482</v>
      </c>
      <c r="D105" s="74" t="s">
        <v>950</v>
      </c>
      <c r="E105" s="44" t="s">
        <v>967</v>
      </c>
      <c r="F105" s="46">
        <v>11025</v>
      </c>
      <c r="G105" s="60"/>
      <c r="H105" s="44"/>
      <c r="I105" s="60"/>
      <c r="J105" s="44"/>
      <c r="K105" s="60"/>
      <c r="L105" s="44"/>
      <c r="M105" s="60"/>
      <c r="N105" s="44"/>
      <c r="O105" s="44"/>
    </row>
    <row r="106" spans="2:15" s="48" customFormat="1" x14ac:dyDescent="0.25">
      <c r="B106" s="43">
        <v>102</v>
      </c>
      <c r="C106" s="44" t="s">
        <v>483</v>
      </c>
      <c r="D106" s="74" t="s">
        <v>950</v>
      </c>
      <c r="E106" s="44" t="s">
        <v>968</v>
      </c>
      <c r="F106" s="46">
        <v>1450</v>
      </c>
      <c r="G106" s="60"/>
      <c r="H106" s="44"/>
      <c r="I106" s="60"/>
      <c r="J106" s="44"/>
      <c r="K106" s="60"/>
      <c r="L106" s="44"/>
      <c r="M106" s="60"/>
      <c r="N106" s="44"/>
      <c r="O106" s="44"/>
    </row>
    <row r="107" spans="2:15" s="48" customFormat="1" x14ac:dyDescent="0.25">
      <c r="B107" s="43">
        <v>103</v>
      </c>
      <c r="C107" s="44" t="s">
        <v>484</v>
      </c>
      <c r="D107" s="74" t="s">
        <v>969</v>
      </c>
      <c r="E107" s="44" t="s">
        <v>958</v>
      </c>
      <c r="F107" s="46">
        <v>5873</v>
      </c>
      <c r="G107" s="60"/>
      <c r="H107" s="44"/>
      <c r="I107" s="60"/>
      <c r="J107" s="44"/>
      <c r="K107" s="60"/>
      <c r="L107" s="44"/>
      <c r="M107" s="60"/>
      <c r="N107" s="44"/>
      <c r="O107" s="44"/>
    </row>
    <row r="108" spans="2:15" s="48" customFormat="1" x14ac:dyDescent="0.25">
      <c r="B108" s="43">
        <v>104</v>
      </c>
      <c r="C108" s="44" t="s">
        <v>485</v>
      </c>
      <c r="D108" s="74" t="s">
        <v>969</v>
      </c>
      <c r="E108" s="44" t="s">
        <v>875</v>
      </c>
      <c r="F108" s="46">
        <v>11745</v>
      </c>
      <c r="G108" s="60"/>
      <c r="H108" s="44"/>
      <c r="I108" s="60"/>
      <c r="J108" s="44"/>
      <c r="K108" s="60"/>
      <c r="L108" s="44"/>
      <c r="M108" s="60"/>
      <c r="N108" s="44"/>
      <c r="O108" s="44"/>
    </row>
    <row r="109" spans="2:15" s="48" customFormat="1" x14ac:dyDescent="0.25">
      <c r="B109" s="43"/>
      <c r="C109" s="44"/>
      <c r="D109" s="44"/>
      <c r="E109" s="44"/>
      <c r="F109" s="46"/>
      <c r="G109" s="60"/>
      <c r="H109" s="44"/>
      <c r="I109" s="60"/>
      <c r="J109" s="44"/>
      <c r="K109" s="60"/>
      <c r="L109" s="44"/>
      <c r="M109" s="60"/>
      <c r="N109" s="44"/>
      <c r="O109" s="44"/>
    </row>
    <row r="110" spans="2:15" s="48" customFormat="1" x14ac:dyDescent="0.25">
      <c r="B110" s="43"/>
      <c r="C110" s="44"/>
      <c r="D110" s="44"/>
      <c r="E110" s="44"/>
      <c r="F110" s="46"/>
      <c r="G110" s="60"/>
      <c r="H110" s="44"/>
      <c r="I110" s="60"/>
      <c r="J110" s="44"/>
      <c r="K110" s="60"/>
      <c r="L110" s="44"/>
      <c r="M110" s="60"/>
      <c r="N110" s="44"/>
      <c r="O110" s="44"/>
    </row>
    <row r="111" spans="2:15" s="48" customFormat="1" x14ac:dyDescent="0.25">
      <c r="B111" s="43"/>
      <c r="C111" s="44"/>
      <c r="D111" s="44"/>
      <c r="E111" s="44"/>
      <c r="F111" s="46"/>
      <c r="G111" s="60"/>
      <c r="H111" s="44"/>
      <c r="I111" s="60"/>
      <c r="J111" s="44"/>
      <c r="K111" s="60"/>
      <c r="L111" s="44"/>
      <c r="M111" s="60"/>
      <c r="N111" s="44"/>
      <c r="O111" s="44"/>
    </row>
    <row r="112" spans="2:15" x14ac:dyDescent="0.25">
      <c r="B112" s="43"/>
      <c r="C112" s="6"/>
      <c r="D112" s="61"/>
      <c r="E112" s="61"/>
      <c r="F112" s="8"/>
      <c r="G112" s="62"/>
      <c r="H112" s="4"/>
      <c r="I112" s="62"/>
      <c r="J112" s="4"/>
      <c r="K112" s="62"/>
      <c r="L112" s="4"/>
      <c r="M112" s="62"/>
      <c r="N112" s="4"/>
      <c r="O112" s="4"/>
    </row>
    <row r="113" spans="2:15" x14ac:dyDescent="0.25">
      <c r="B113" s="43"/>
      <c r="C113" s="6"/>
      <c r="D113" s="61"/>
      <c r="E113" s="61"/>
      <c r="F113" s="17"/>
      <c r="G113" s="62"/>
      <c r="H113" s="4"/>
      <c r="I113" s="62"/>
      <c r="J113" s="4"/>
      <c r="K113" s="62"/>
      <c r="L113" s="4"/>
      <c r="M113" s="62"/>
      <c r="N113" s="4"/>
      <c r="O113" s="4"/>
    </row>
    <row r="114" spans="2:15" x14ac:dyDescent="0.25">
      <c r="B114" s="43"/>
      <c r="C114" s="6"/>
      <c r="D114" s="61"/>
      <c r="E114" s="61"/>
      <c r="F114" s="8"/>
      <c r="G114" s="63"/>
      <c r="H114" s="4"/>
      <c r="I114" s="62"/>
      <c r="J114" s="4"/>
      <c r="K114" s="62"/>
      <c r="L114" s="4"/>
      <c r="M114" s="62"/>
      <c r="N114" s="4"/>
      <c r="O114" s="4"/>
    </row>
    <row r="115" spans="2:15" x14ac:dyDescent="0.25">
      <c r="B115" s="43"/>
      <c r="C115" s="4"/>
      <c r="D115" s="4"/>
      <c r="E115" s="4"/>
      <c r="F115" s="17"/>
      <c r="G115" s="62"/>
      <c r="H115" s="4"/>
      <c r="I115" s="62"/>
      <c r="J115" s="4"/>
      <c r="K115" s="62"/>
      <c r="L115" s="4"/>
      <c r="M115" s="62"/>
      <c r="N115" s="4"/>
      <c r="O115" s="4"/>
    </row>
    <row r="116" spans="2:15" x14ac:dyDescent="0.25">
      <c r="B116" s="43"/>
      <c r="C116" s="4"/>
      <c r="D116" s="4"/>
      <c r="E116" s="4"/>
      <c r="F116" s="17"/>
      <c r="G116" s="62"/>
      <c r="H116" s="4"/>
      <c r="I116" s="62"/>
      <c r="J116" s="4"/>
      <c r="K116" s="62"/>
      <c r="L116" s="4"/>
      <c r="M116" s="62"/>
      <c r="N116" s="4"/>
      <c r="O116" s="4"/>
    </row>
    <row r="117" spans="2:15" x14ac:dyDescent="0.25">
      <c r="B117" s="43"/>
      <c r="C117" s="4"/>
      <c r="D117" s="4"/>
      <c r="E117" s="4"/>
      <c r="F117" s="17"/>
      <c r="G117" s="62"/>
      <c r="H117" s="4"/>
      <c r="I117" s="62"/>
      <c r="J117" s="4"/>
      <c r="K117" s="62"/>
      <c r="L117" s="4"/>
      <c r="M117" s="62"/>
      <c r="N117" s="4"/>
      <c r="O117" s="4"/>
    </row>
    <row r="118" spans="2:15" x14ac:dyDescent="0.25">
      <c r="B118" s="43"/>
      <c r="C118" s="4"/>
      <c r="D118" s="4"/>
      <c r="E118" s="4"/>
      <c r="F118" s="17"/>
      <c r="G118" s="62"/>
      <c r="H118" s="4"/>
      <c r="I118" s="62"/>
      <c r="J118" s="4"/>
      <c r="K118" s="62"/>
      <c r="L118" s="4"/>
      <c r="M118" s="62"/>
      <c r="N118" s="4"/>
      <c r="O118" s="4"/>
    </row>
    <row r="119" spans="2:15" x14ac:dyDescent="0.25">
      <c r="B119" s="43"/>
      <c r="C119" s="4"/>
      <c r="D119" s="4"/>
      <c r="E119" s="4"/>
      <c r="F119" s="17"/>
      <c r="G119" s="62"/>
      <c r="H119" s="4"/>
      <c r="I119" s="62"/>
      <c r="J119" s="4"/>
      <c r="K119" s="62"/>
      <c r="L119" s="4"/>
      <c r="M119" s="62"/>
      <c r="N119" s="4"/>
      <c r="O119" s="4"/>
    </row>
    <row r="120" spans="2:15" x14ac:dyDescent="0.25">
      <c r="B120" s="43"/>
      <c r="C120" s="4"/>
      <c r="D120" s="4"/>
      <c r="E120" s="4"/>
      <c r="F120" s="17"/>
      <c r="G120" s="62"/>
      <c r="H120" s="4"/>
      <c r="I120" s="62"/>
      <c r="J120" s="4"/>
      <c r="K120" s="62"/>
      <c r="L120" s="4"/>
      <c r="M120" s="62"/>
      <c r="N120" s="4"/>
      <c r="O120" s="4"/>
    </row>
    <row r="121" spans="2:15" x14ac:dyDescent="0.25">
      <c r="B121" s="43"/>
      <c r="C121" s="4"/>
      <c r="D121" s="4"/>
      <c r="E121" s="4"/>
      <c r="F121" s="17"/>
      <c r="G121" s="62"/>
      <c r="H121" s="4"/>
      <c r="I121" s="62"/>
      <c r="J121" s="4"/>
      <c r="K121" s="62"/>
      <c r="L121" s="4"/>
      <c r="M121" s="62"/>
      <c r="N121" s="4"/>
      <c r="O121" s="4"/>
    </row>
    <row r="122" spans="2:15" x14ac:dyDescent="0.25">
      <c r="B122" s="43"/>
      <c r="C122" s="4"/>
      <c r="D122" s="4"/>
      <c r="E122" s="4"/>
      <c r="F122" s="17"/>
      <c r="G122" s="62"/>
      <c r="H122" s="4"/>
      <c r="I122" s="62"/>
      <c r="J122" s="4"/>
      <c r="K122" s="62"/>
      <c r="L122" s="4"/>
      <c r="M122" s="62"/>
      <c r="N122" s="4"/>
      <c r="O122" s="4"/>
    </row>
    <row r="123" spans="2:15" x14ac:dyDescent="0.25">
      <c r="B123" s="43"/>
      <c r="C123" s="66"/>
      <c r="D123" s="4"/>
      <c r="E123" s="4"/>
      <c r="F123" s="17"/>
      <c r="G123" s="62"/>
      <c r="H123" s="4"/>
      <c r="I123" s="62"/>
      <c r="J123" s="4"/>
      <c r="K123" s="62"/>
      <c r="L123" s="4"/>
      <c r="M123" s="62"/>
      <c r="N123" s="4"/>
      <c r="O123" s="4"/>
    </row>
    <row r="124" spans="2:15" x14ac:dyDescent="0.25">
      <c r="B124" s="43"/>
      <c r="C124" s="66"/>
      <c r="D124" s="4"/>
      <c r="E124" s="4"/>
      <c r="F124" s="17"/>
      <c r="G124" s="62"/>
      <c r="H124" s="4"/>
      <c r="I124" s="62"/>
      <c r="J124" s="4"/>
      <c r="K124" s="62"/>
      <c r="L124" s="4"/>
      <c r="M124" s="62"/>
      <c r="N124" s="4"/>
      <c r="O124" s="4"/>
    </row>
    <row r="125" spans="2:15" x14ac:dyDescent="0.25">
      <c r="B125" s="43"/>
      <c r="C125" s="4"/>
      <c r="D125" s="4"/>
      <c r="E125" s="4"/>
      <c r="F125" s="17"/>
      <c r="G125" s="62"/>
      <c r="H125" s="17"/>
      <c r="I125" s="62"/>
      <c r="J125" s="17"/>
      <c r="K125" s="62"/>
      <c r="L125" s="21"/>
      <c r="M125" s="64"/>
      <c r="N125" s="4"/>
      <c r="O125" s="4"/>
    </row>
    <row r="126" spans="2:15" x14ac:dyDescent="0.25">
      <c r="B126" s="43"/>
      <c r="C126" s="4"/>
      <c r="D126" s="4"/>
      <c r="E126" s="4"/>
      <c r="F126" s="15"/>
      <c r="G126" s="62"/>
      <c r="H126" s="4"/>
      <c r="I126" s="62"/>
      <c r="J126" s="17"/>
      <c r="K126" s="62"/>
      <c r="L126" s="17"/>
      <c r="M126" s="62"/>
      <c r="N126" s="17"/>
      <c r="O126" s="4"/>
    </row>
    <row r="127" spans="2:15" x14ac:dyDescent="0.25">
      <c r="B127" s="43"/>
      <c r="C127" s="4"/>
      <c r="D127" s="4"/>
      <c r="E127" s="4"/>
      <c r="F127" s="15"/>
      <c r="G127" s="62"/>
      <c r="H127" s="4"/>
      <c r="I127" s="62"/>
      <c r="J127" s="17"/>
      <c r="K127" s="62"/>
      <c r="L127" s="17"/>
      <c r="M127" s="62"/>
      <c r="N127" s="17"/>
      <c r="O127" s="4"/>
    </row>
    <row r="128" spans="2:15" x14ac:dyDescent="0.25">
      <c r="B128" s="43"/>
      <c r="C128" s="4"/>
      <c r="D128" s="4"/>
      <c r="E128" s="4"/>
      <c r="F128" s="15"/>
      <c r="G128" s="62"/>
      <c r="H128" s="17"/>
      <c r="I128" s="62"/>
      <c r="J128" s="17"/>
      <c r="K128" s="62"/>
      <c r="L128" s="17"/>
      <c r="M128" s="62"/>
      <c r="N128" s="17"/>
      <c r="O128" s="4"/>
    </row>
    <row r="129" spans="2:15" x14ac:dyDescent="0.25">
      <c r="B129" s="43"/>
      <c r="C129" s="4"/>
      <c r="D129" s="4"/>
      <c r="E129" s="4"/>
      <c r="F129" s="15"/>
      <c r="H129" s="4"/>
      <c r="I129" s="62"/>
      <c r="J129" s="4"/>
      <c r="K129" s="62"/>
      <c r="L129" s="4"/>
      <c r="M129" s="62"/>
      <c r="N129" s="4"/>
      <c r="O129" s="4"/>
    </row>
    <row r="130" spans="2:15" x14ac:dyDescent="0.25">
      <c r="B130" s="43"/>
      <c r="C130" s="4"/>
      <c r="D130" s="4"/>
      <c r="E130" s="4"/>
      <c r="F130" s="15"/>
      <c r="G130" s="62"/>
      <c r="H130" s="17"/>
      <c r="I130" s="62"/>
      <c r="J130" s="17"/>
      <c r="K130" s="62"/>
      <c r="L130" s="17"/>
      <c r="M130" s="62"/>
      <c r="N130" s="17"/>
      <c r="O130" s="4"/>
    </row>
    <row r="131" spans="2:15" x14ac:dyDescent="0.25">
      <c r="B131" s="43"/>
      <c r="C131" s="4"/>
      <c r="D131" s="4"/>
      <c r="E131" s="4"/>
      <c r="F131" s="15"/>
      <c r="G131" s="62"/>
      <c r="H131" s="17"/>
      <c r="I131" s="62"/>
      <c r="J131" s="17"/>
      <c r="K131" s="62"/>
      <c r="L131" s="17"/>
      <c r="M131" s="62"/>
      <c r="N131" s="17"/>
      <c r="O131" s="4"/>
    </row>
    <row r="132" spans="2:15" x14ac:dyDescent="0.25">
      <c r="B132" s="43"/>
      <c r="C132" s="4"/>
      <c r="D132" s="4"/>
      <c r="E132" s="4"/>
      <c r="F132" s="15"/>
      <c r="G132" s="62"/>
      <c r="H132" s="17"/>
      <c r="I132" s="62"/>
      <c r="J132" s="17"/>
      <c r="K132" s="62"/>
      <c r="L132" s="17"/>
      <c r="M132" s="62"/>
      <c r="N132" s="17"/>
      <c r="O132" s="4"/>
    </row>
    <row r="133" spans="2:15" x14ac:dyDescent="0.25">
      <c r="B133" s="43"/>
      <c r="C133" s="4"/>
      <c r="D133" s="4"/>
      <c r="E133" s="4"/>
      <c r="F133" s="15"/>
      <c r="G133" s="62"/>
      <c r="H133" s="4"/>
      <c r="I133" s="62"/>
      <c r="J133" s="4"/>
      <c r="K133" s="62"/>
      <c r="L133" s="17"/>
      <c r="M133" s="62"/>
      <c r="N133" s="17"/>
      <c r="O133" s="4"/>
    </row>
    <row r="134" spans="2:15" x14ac:dyDescent="0.25">
      <c r="B134" s="43"/>
      <c r="C134" s="4"/>
      <c r="D134" s="4"/>
      <c r="E134" s="4"/>
      <c r="F134" s="15"/>
      <c r="G134" s="62"/>
      <c r="H134" s="4"/>
      <c r="I134" s="62"/>
      <c r="J134" s="4"/>
      <c r="K134" s="62"/>
      <c r="L134" s="17"/>
      <c r="M134" s="62"/>
      <c r="N134" s="17"/>
      <c r="O134" s="4"/>
    </row>
    <row r="135" spans="2:15" x14ac:dyDescent="0.25">
      <c r="B135" s="43"/>
      <c r="C135" s="4"/>
      <c r="D135" s="4"/>
      <c r="E135" s="4"/>
      <c r="F135" s="15"/>
      <c r="G135" s="62"/>
      <c r="H135" s="4"/>
      <c r="I135" s="62"/>
      <c r="J135" s="4"/>
      <c r="K135" s="62"/>
      <c r="L135" s="17"/>
      <c r="M135" s="62"/>
      <c r="N135" s="17"/>
      <c r="O135" s="4"/>
    </row>
    <row r="136" spans="2:15" x14ac:dyDescent="0.25">
      <c r="B136" s="43"/>
      <c r="C136" s="4"/>
      <c r="D136" s="4"/>
      <c r="E136" s="4"/>
      <c r="F136" s="15"/>
      <c r="G136" s="62"/>
      <c r="H136" s="4"/>
      <c r="I136" s="62"/>
      <c r="J136" s="4"/>
      <c r="K136" s="62"/>
      <c r="L136" s="17"/>
      <c r="M136" s="62"/>
      <c r="N136" s="17"/>
      <c r="O136" s="4"/>
    </row>
    <row r="137" spans="2:15" x14ac:dyDescent="0.25">
      <c r="B137" s="43"/>
      <c r="C137" s="4"/>
      <c r="D137" s="4"/>
      <c r="E137" s="4"/>
      <c r="F137" s="15"/>
      <c r="G137" s="62"/>
      <c r="H137" s="17"/>
      <c r="I137" s="62"/>
      <c r="J137" s="17"/>
      <c r="K137" s="62"/>
      <c r="L137" s="17"/>
      <c r="M137" s="62"/>
      <c r="N137" s="17"/>
      <c r="O137" s="4"/>
    </row>
    <row r="138" spans="2:15" x14ac:dyDescent="0.25">
      <c r="B138" s="43"/>
      <c r="C138" s="33"/>
      <c r="D138" s="33"/>
      <c r="E138" s="33"/>
      <c r="F138" s="35"/>
      <c r="G138" s="65"/>
      <c r="H138" s="17"/>
      <c r="I138" s="62"/>
      <c r="J138" s="4"/>
      <c r="K138" s="62"/>
      <c r="L138" s="17"/>
      <c r="M138" s="62"/>
      <c r="N138" s="4"/>
      <c r="O138" s="4"/>
    </row>
    <row r="139" spans="2:15" x14ac:dyDescent="0.25">
      <c r="B139" s="43"/>
      <c r="C139" s="4"/>
      <c r="D139" s="4"/>
      <c r="E139" s="4"/>
      <c r="F139" s="17"/>
      <c r="G139" s="64"/>
      <c r="H139" s="17"/>
      <c r="I139" s="62"/>
      <c r="J139" s="17"/>
      <c r="K139" s="62"/>
      <c r="L139" s="17"/>
      <c r="M139" s="62"/>
      <c r="N139" s="4"/>
      <c r="O139" s="4"/>
    </row>
    <row r="140" spans="2:15" x14ac:dyDescent="0.25">
      <c r="B140" s="43"/>
      <c r="C140" s="4"/>
      <c r="D140" s="4"/>
      <c r="E140" s="4"/>
      <c r="F140" s="17"/>
      <c r="G140" s="64"/>
      <c r="H140" s="17"/>
      <c r="I140" s="62"/>
      <c r="J140" s="17"/>
      <c r="K140" s="62"/>
      <c r="L140" s="17"/>
      <c r="M140" s="62"/>
      <c r="N140" s="4"/>
      <c r="O140" s="4"/>
    </row>
    <row r="141" spans="2:15" x14ac:dyDescent="0.25">
      <c r="B141" s="43"/>
      <c r="C141" s="4"/>
      <c r="D141" s="4"/>
      <c r="E141" s="4"/>
      <c r="F141" s="17"/>
      <c r="G141" s="62"/>
      <c r="H141" s="4"/>
      <c r="I141" s="62"/>
      <c r="J141" s="17"/>
      <c r="K141" s="62"/>
      <c r="L141" s="4"/>
      <c r="M141" s="62"/>
      <c r="N141" s="4"/>
      <c r="O141" s="4"/>
    </row>
    <row r="142" spans="2:15" x14ac:dyDescent="0.25">
      <c r="B142" s="43"/>
      <c r="C142" s="4"/>
      <c r="D142" s="4"/>
      <c r="E142" s="4"/>
      <c r="F142" s="17"/>
      <c r="G142" s="62"/>
      <c r="H142" s="4"/>
      <c r="I142" s="62"/>
      <c r="J142" s="17"/>
      <c r="K142" s="62"/>
      <c r="L142" s="4"/>
      <c r="M142" s="62"/>
      <c r="N142" s="4"/>
      <c r="O142" s="4"/>
    </row>
    <row r="143" spans="2:15" x14ac:dyDescent="0.25">
      <c r="B143" s="43"/>
      <c r="C143" s="4"/>
      <c r="D143" s="4"/>
      <c r="E143" s="4"/>
      <c r="F143" s="17"/>
      <c r="G143" s="62"/>
      <c r="H143" s="4"/>
      <c r="I143" s="62"/>
      <c r="J143" s="17"/>
      <c r="K143" s="62"/>
      <c r="L143" s="4"/>
      <c r="M143" s="62"/>
      <c r="N143" s="4"/>
      <c r="O143" s="4"/>
    </row>
    <row r="144" spans="2:15" x14ac:dyDescent="0.25">
      <c r="B144" s="43"/>
      <c r="C144" s="4"/>
      <c r="D144" s="4"/>
      <c r="E144" s="4"/>
      <c r="F144" s="17"/>
      <c r="G144" s="62"/>
      <c r="H144" s="4"/>
      <c r="I144" s="62"/>
      <c r="J144" s="4"/>
      <c r="K144" s="62"/>
      <c r="L144" s="17"/>
      <c r="M144" s="62"/>
      <c r="N144" s="4"/>
      <c r="O144" s="4"/>
    </row>
    <row r="145" spans="2:15" x14ac:dyDescent="0.25">
      <c r="B145" s="43"/>
      <c r="C145" s="4"/>
      <c r="D145" s="4"/>
      <c r="E145" s="4"/>
      <c r="F145" s="17"/>
      <c r="G145" s="62"/>
      <c r="H145" s="4"/>
      <c r="I145" s="62"/>
      <c r="J145" s="4"/>
      <c r="K145" s="62"/>
      <c r="L145" s="17"/>
      <c r="M145" s="62"/>
      <c r="N145" s="4"/>
      <c r="O145" s="4"/>
    </row>
    <row r="146" spans="2:15" x14ac:dyDescent="0.25">
      <c r="B146" s="43"/>
      <c r="C146" s="4"/>
      <c r="D146" s="4"/>
      <c r="E146" s="4"/>
      <c r="F146" s="17"/>
      <c r="G146" s="62"/>
      <c r="H146" s="4"/>
      <c r="I146" s="62"/>
      <c r="J146" s="4"/>
      <c r="K146" s="62"/>
      <c r="L146" s="17"/>
      <c r="M146" s="62"/>
      <c r="N146" s="4"/>
      <c r="O146" s="4"/>
    </row>
    <row r="147" spans="2:15" x14ac:dyDescent="0.25">
      <c r="B147" s="43"/>
      <c r="C147" s="4"/>
      <c r="D147" s="4"/>
      <c r="E147" s="4"/>
      <c r="F147" s="17"/>
      <c r="G147" s="62"/>
      <c r="H147" s="17"/>
      <c r="I147" s="62"/>
      <c r="J147" s="17"/>
      <c r="K147" s="62"/>
      <c r="L147" s="17"/>
      <c r="M147" s="62"/>
      <c r="N147" s="4"/>
      <c r="O147" s="4"/>
    </row>
    <row r="148" spans="2:15" x14ac:dyDescent="0.25">
      <c r="B148" s="43"/>
      <c r="C148" s="4"/>
      <c r="D148" s="4"/>
      <c r="E148" s="4"/>
      <c r="F148" s="17"/>
      <c r="G148" s="62"/>
      <c r="H148" s="17"/>
      <c r="I148" s="62"/>
      <c r="J148" s="17"/>
      <c r="K148" s="62"/>
      <c r="L148" s="17"/>
      <c r="M148" s="62"/>
      <c r="N148" s="4"/>
      <c r="O148" s="4"/>
    </row>
    <row r="149" spans="2:15" x14ac:dyDescent="0.25">
      <c r="B149" s="43"/>
      <c r="C149" s="4"/>
      <c r="D149" s="4"/>
      <c r="E149" s="4"/>
      <c r="F149" s="17"/>
      <c r="G149" s="62"/>
      <c r="H149" s="17"/>
      <c r="I149" s="62"/>
      <c r="J149" s="17"/>
      <c r="K149" s="62"/>
      <c r="L149" s="17"/>
      <c r="M149" s="62"/>
      <c r="N149" s="4"/>
      <c r="O149" s="4"/>
    </row>
    <row r="150" spans="2:15" x14ac:dyDescent="0.25">
      <c r="B150" s="43"/>
      <c r="C150" s="4"/>
      <c r="D150" s="4"/>
      <c r="E150" s="4"/>
      <c r="F150" s="17"/>
      <c r="G150" s="62"/>
      <c r="H150" s="17"/>
      <c r="I150" s="62"/>
      <c r="J150" s="17"/>
      <c r="K150" s="62"/>
      <c r="L150" s="17"/>
      <c r="M150" s="62"/>
      <c r="N150" s="4"/>
      <c r="O150" s="4"/>
    </row>
    <row r="151" spans="2:15" x14ac:dyDescent="0.25">
      <c r="B151" s="43"/>
      <c r="C151" s="4"/>
      <c r="D151" s="4"/>
      <c r="E151" s="4"/>
      <c r="F151" s="15"/>
      <c r="G151" s="62"/>
      <c r="H151" s="4"/>
      <c r="I151" s="62"/>
      <c r="J151" s="17"/>
      <c r="K151" s="62"/>
      <c r="L151" s="17"/>
      <c r="M151" s="62"/>
      <c r="N151" s="4"/>
      <c r="O151" s="4"/>
    </row>
    <row r="152" spans="2:15" x14ac:dyDescent="0.25">
      <c r="B152" s="43"/>
      <c r="C152" s="4"/>
      <c r="D152" s="4"/>
      <c r="E152" s="4"/>
      <c r="F152" s="15"/>
      <c r="G152" s="62"/>
      <c r="H152" s="66"/>
      <c r="I152" s="64"/>
      <c r="J152" s="17"/>
      <c r="K152" s="62"/>
      <c r="L152" s="17"/>
      <c r="M152" s="62"/>
      <c r="N152" s="4"/>
      <c r="O152" s="4"/>
    </row>
    <row r="153" spans="2:15" x14ac:dyDescent="0.25">
      <c r="B153" s="43"/>
      <c r="C153" s="4"/>
      <c r="D153" s="4"/>
      <c r="E153" s="4"/>
      <c r="F153" s="15"/>
      <c r="G153" s="62"/>
      <c r="H153" s="15"/>
      <c r="I153" s="64"/>
      <c r="J153" s="17"/>
      <c r="K153" s="62"/>
      <c r="L153" s="17"/>
      <c r="M153" s="62"/>
      <c r="N153" s="4"/>
      <c r="O153" s="4"/>
    </row>
    <row r="154" spans="2:15" x14ac:dyDescent="0.25">
      <c r="B154" s="43"/>
      <c r="C154" s="4"/>
      <c r="D154" s="4"/>
      <c r="E154" s="4"/>
      <c r="F154" s="15"/>
      <c r="G154" s="62"/>
      <c r="H154" s="15"/>
      <c r="I154" s="64"/>
      <c r="J154" s="17"/>
      <c r="K154" s="62"/>
      <c r="L154" s="17"/>
      <c r="M154" s="62"/>
      <c r="N154" s="4"/>
      <c r="O154" s="4"/>
    </row>
    <row r="155" spans="2:15" x14ac:dyDescent="0.25">
      <c r="B155" s="43"/>
      <c r="C155" s="4"/>
      <c r="D155" s="4"/>
      <c r="E155" s="4"/>
      <c r="F155" s="15"/>
      <c r="G155" s="62"/>
      <c r="H155" s="15"/>
      <c r="I155" s="64"/>
      <c r="J155" s="17"/>
      <c r="K155" s="62"/>
      <c r="L155" s="17"/>
      <c r="M155" s="62"/>
      <c r="N155" s="4"/>
      <c r="O155" s="4"/>
    </row>
    <row r="156" spans="2:15" x14ac:dyDescent="0.25">
      <c r="B156" s="43"/>
      <c r="C156" s="4"/>
      <c r="D156" s="4"/>
      <c r="E156" s="4"/>
      <c r="F156" s="15"/>
      <c r="G156" s="62"/>
      <c r="H156" s="15"/>
      <c r="I156" s="64"/>
      <c r="J156" s="17"/>
      <c r="K156" s="62"/>
      <c r="L156" s="17"/>
      <c r="M156" s="62"/>
      <c r="N156" s="4"/>
      <c r="O156" s="4"/>
    </row>
    <row r="157" spans="2:15" x14ac:dyDescent="0.25">
      <c r="B157" s="43"/>
      <c r="C157" s="4"/>
      <c r="D157" s="4"/>
      <c r="E157" s="4"/>
      <c r="F157" s="15"/>
      <c r="G157" s="67"/>
      <c r="H157" s="15"/>
      <c r="I157" s="64"/>
      <c r="J157" s="17"/>
      <c r="K157" s="62"/>
      <c r="L157" s="4"/>
      <c r="M157" s="62"/>
      <c r="N157" s="4"/>
      <c r="O157" s="4"/>
    </row>
    <row r="158" spans="2:15" x14ac:dyDescent="0.25">
      <c r="B158" s="43"/>
      <c r="C158" s="4"/>
      <c r="D158" s="4"/>
      <c r="E158" s="4"/>
      <c r="F158" s="17"/>
      <c r="G158" s="62"/>
      <c r="H158" s="15"/>
      <c r="I158" s="64"/>
      <c r="J158" s="17"/>
      <c r="K158" s="62"/>
      <c r="L158" s="4"/>
      <c r="M158" s="62"/>
      <c r="N158" s="4"/>
      <c r="O158" s="4"/>
    </row>
    <row r="159" spans="2:15" x14ac:dyDescent="0.25">
      <c r="B159" s="43"/>
      <c r="C159" s="4"/>
      <c r="D159" s="4"/>
      <c r="E159" s="4"/>
      <c r="F159" s="17"/>
      <c r="G159" s="62"/>
      <c r="H159" s="66"/>
      <c r="I159" s="64"/>
      <c r="J159" s="17"/>
      <c r="K159" s="62"/>
      <c r="L159" s="17"/>
      <c r="M159" s="62"/>
      <c r="N159" s="4"/>
      <c r="O159" s="4"/>
    </row>
    <row r="160" spans="2:15" x14ac:dyDescent="0.25">
      <c r="B160" s="43"/>
      <c r="C160" s="4"/>
      <c r="D160" s="4"/>
      <c r="E160" s="4"/>
      <c r="F160" s="17"/>
      <c r="G160" s="62"/>
      <c r="H160" s="66"/>
      <c r="I160" s="64"/>
      <c r="J160" s="17"/>
      <c r="K160" s="62"/>
      <c r="L160" s="4"/>
      <c r="M160" s="62"/>
      <c r="N160" s="4"/>
      <c r="O160" s="4"/>
    </row>
    <row r="161" spans="2:15" x14ac:dyDescent="0.25">
      <c r="B161" s="43"/>
      <c r="C161" s="4"/>
      <c r="D161" s="4"/>
      <c r="E161" s="4"/>
      <c r="F161" s="17"/>
      <c r="G161" s="62"/>
      <c r="H161" s="15"/>
      <c r="I161" s="64"/>
      <c r="J161" s="17"/>
      <c r="K161" s="62"/>
      <c r="L161" s="4"/>
      <c r="M161" s="62"/>
      <c r="N161" s="4"/>
      <c r="O161" s="4"/>
    </row>
    <row r="162" spans="2:15" x14ac:dyDescent="0.25">
      <c r="B162" s="43"/>
      <c r="C162" s="4"/>
      <c r="D162" s="4"/>
      <c r="E162" s="4"/>
      <c r="F162" s="17"/>
      <c r="G162" s="62"/>
      <c r="H162" s="15"/>
      <c r="I162" s="64"/>
      <c r="J162" s="21"/>
      <c r="K162" s="64"/>
      <c r="L162" s="21"/>
      <c r="M162" s="64"/>
      <c r="N162" s="4"/>
      <c r="O162" s="4"/>
    </row>
    <row r="163" spans="2:15" x14ac:dyDescent="0.25">
      <c r="B163" s="43"/>
      <c r="C163" s="39"/>
      <c r="D163" s="4"/>
      <c r="E163" s="4"/>
      <c r="F163" s="18"/>
      <c r="G163" s="64"/>
      <c r="H163" s="17"/>
      <c r="I163" s="62"/>
      <c r="J163" s="4"/>
      <c r="K163" s="62"/>
      <c r="L163" s="4"/>
      <c r="M163" s="62"/>
      <c r="N163" s="4"/>
      <c r="O163" s="4"/>
    </row>
    <row r="164" spans="2:15" x14ac:dyDescent="0.25">
      <c r="B164" s="43"/>
      <c r="C164" s="39"/>
      <c r="D164" s="4"/>
      <c r="E164" s="4"/>
      <c r="F164" s="18"/>
      <c r="G164" s="64"/>
      <c r="H164" s="17"/>
      <c r="I164" s="62"/>
      <c r="J164" s="4"/>
      <c r="K164" s="62"/>
      <c r="L164" s="4"/>
      <c r="M164" s="62"/>
      <c r="N164" s="4"/>
      <c r="O164" s="4"/>
    </row>
    <row r="165" spans="2:15" x14ac:dyDescent="0.25">
      <c r="B165" s="43"/>
      <c r="C165" s="39"/>
      <c r="D165" s="4"/>
      <c r="E165" s="4"/>
      <c r="F165" s="18"/>
      <c r="G165" s="62"/>
      <c r="H165" s="17"/>
      <c r="I165" s="62"/>
      <c r="J165" s="4"/>
      <c r="K165" s="62"/>
      <c r="L165" s="4"/>
      <c r="M165" s="62"/>
      <c r="N165" s="4"/>
      <c r="O165" s="4"/>
    </row>
    <row r="166" spans="2:15" x14ac:dyDescent="0.25">
      <c r="B166" s="43"/>
      <c r="C166" s="39"/>
      <c r="D166" s="4"/>
      <c r="E166" s="4"/>
      <c r="F166" s="18"/>
      <c r="G166" s="62"/>
      <c r="H166" s="17"/>
      <c r="I166" s="62"/>
      <c r="J166" s="4"/>
      <c r="K166" s="62"/>
      <c r="L166" s="4"/>
      <c r="M166" s="62"/>
      <c r="N166" s="4"/>
      <c r="O166" s="4"/>
    </row>
    <row r="167" spans="2:15" x14ac:dyDescent="0.25">
      <c r="B167" s="43"/>
      <c r="C167" s="39"/>
      <c r="D167" s="4"/>
      <c r="E167" s="4"/>
      <c r="F167" s="17"/>
      <c r="G167" s="64"/>
      <c r="H167" s="4"/>
      <c r="I167" s="62"/>
      <c r="J167" s="4"/>
      <c r="K167" s="62"/>
      <c r="L167" s="4"/>
      <c r="M167" s="62"/>
      <c r="N167" s="4"/>
      <c r="O167" s="4"/>
    </row>
    <row r="168" spans="2:15" x14ac:dyDescent="0.25">
      <c r="B168" s="43"/>
      <c r="C168" s="4"/>
      <c r="D168" s="4"/>
      <c r="E168" s="4"/>
      <c r="F168" s="17"/>
      <c r="G168" s="68"/>
      <c r="H168" s="4"/>
      <c r="I168" s="62"/>
      <c r="J168" s="4"/>
      <c r="K168" s="62"/>
      <c r="L168" s="4"/>
      <c r="M168" s="62"/>
      <c r="N168" s="4"/>
      <c r="O168" s="4"/>
    </row>
    <row r="169" spans="2:15" x14ac:dyDescent="0.25">
      <c r="B169" s="43"/>
      <c r="C169" s="4"/>
      <c r="D169" s="4"/>
      <c r="E169" s="4"/>
      <c r="F169" s="17"/>
      <c r="G169" s="64"/>
      <c r="H169" s="4"/>
      <c r="I169" s="62"/>
      <c r="J169" s="4"/>
      <c r="K169" s="62"/>
      <c r="L169" s="4"/>
      <c r="M169" s="62"/>
      <c r="N169" s="4"/>
      <c r="O169" s="4"/>
    </row>
    <row r="170" spans="2:15" x14ac:dyDescent="0.25">
      <c r="B170" s="43"/>
      <c r="C170" s="4"/>
      <c r="D170" s="4"/>
      <c r="E170" s="4"/>
      <c r="F170" s="17"/>
      <c r="G170" s="64"/>
      <c r="H170" s="4"/>
      <c r="I170" s="62"/>
      <c r="J170" s="4"/>
      <c r="K170" s="62"/>
      <c r="L170" s="4"/>
      <c r="M170" s="62"/>
      <c r="N170" s="4"/>
      <c r="O170" s="4"/>
    </row>
    <row r="171" spans="2:15" x14ac:dyDescent="0.25">
      <c r="B171" s="43"/>
      <c r="C171" s="4"/>
      <c r="D171" s="4"/>
      <c r="E171" s="4"/>
      <c r="F171" s="17"/>
      <c r="G171" s="62"/>
      <c r="H171" s="4"/>
      <c r="I171" s="62"/>
      <c r="J171" s="4"/>
      <c r="K171" s="62"/>
      <c r="L171" s="4"/>
      <c r="M171" s="62"/>
      <c r="N171" s="4"/>
      <c r="O171" s="4"/>
    </row>
    <row r="172" spans="2:15" x14ac:dyDescent="0.25">
      <c r="B172" s="43"/>
      <c r="C172" s="4"/>
      <c r="D172" s="4"/>
      <c r="E172" s="4"/>
      <c r="F172" s="17"/>
      <c r="G172" s="62"/>
      <c r="H172" s="4"/>
      <c r="I172" s="62"/>
      <c r="J172" s="4"/>
      <c r="K172" s="62"/>
      <c r="L172" s="4"/>
      <c r="M172" s="62"/>
      <c r="N172" s="4"/>
      <c r="O172" s="4"/>
    </row>
    <row r="173" spans="2:15" x14ac:dyDescent="0.25">
      <c r="B173" s="43"/>
      <c r="C173" s="4"/>
      <c r="D173" s="4"/>
      <c r="E173" s="4"/>
      <c r="F173" s="17"/>
      <c r="G173" s="64"/>
      <c r="H173" s="4"/>
      <c r="I173" s="62"/>
      <c r="J173" s="4"/>
      <c r="K173" s="62"/>
      <c r="L173" s="4"/>
      <c r="M173" s="62"/>
      <c r="N173" s="4"/>
      <c r="O173" s="4"/>
    </row>
    <row r="174" spans="2:15" x14ac:dyDescent="0.25">
      <c r="B174" s="43"/>
      <c r="C174" s="4"/>
      <c r="D174" s="4"/>
      <c r="E174" s="4"/>
      <c r="F174" s="17"/>
      <c r="G174" s="68"/>
      <c r="H174" s="4"/>
      <c r="I174" s="62"/>
      <c r="J174" s="4"/>
      <c r="K174" s="62"/>
      <c r="L174" s="4"/>
      <c r="M174" s="62"/>
      <c r="N174" s="4"/>
      <c r="O174" s="4"/>
    </row>
    <row r="175" spans="2:15" x14ac:dyDescent="0.25">
      <c r="B175" s="43"/>
      <c r="C175" s="4"/>
      <c r="D175" s="4"/>
      <c r="E175" s="4"/>
      <c r="F175" s="17"/>
      <c r="G175" s="62"/>
      <c r="H175" s="4"/>
      <c r="I175" s="62"/>
      <c r="J175" s="4"/>
      <c r="K175" s="62"/>
      <c r="L175" s="4"/>
      <c r="M175" s="62"/>
      <c r="N175" s="4"/>
      <c r="O175" s="4"/>
    </row>
    <row r="176" spans="2:15" x14ac:dyDescent="0.25">
      <c r="B176" s="43"/>
      <c r="C176" s="4"/>
      <c r="D176" s="4"/>
      <c r="E176" s="4"/>
      <c r="F176" s="17"/>
      <c r="G176" s="62"/>
      <c r="H176" s="4"/>
      <c r="I176" s="62"/>
      <c r="J176" s="4"/>
      <c r="K176" s="62"/>
      <c r="L176" s="4"/>
      <c r="M176" s="62"/>
      <c r="N176" s="4"/>
      <c r="O176" s="4"/>
    </row>
    <row r="177" spans="2:15" x14ac:dyDescent="0.25">
      <c r="B177" s="43"/>
      <c r="C177" s="4"/>
      <c r="D177" s="4"/>
      <c r="E177" s="4"/>
      <c r="F177" s="17"/>
      <c r="G177" s="62"/>
      <c r="H177" s="4"/>
      <c r="I177" s="62"/>
      <c r="J177" s="4"/>
      <c r="K177" s="62"/>
      <c r="L177" s="4"/>
      <c r="M177" s="62"/>
      <c r="N177" s="4"/>
      <c r="O177" s="4"/>
    </row>
    <row r="178" spans="2:15" x14ac:dyDescent="0.25">
      <c r="B178" s="43"/>
      <c r="C178" s="4"/>
      <c r="D178" s="4"/>
      <c r="E178" s="4"/>
      <c r="F178" s="17"/>
      <c r="G178" s="62"/>
      <c r="H178" s="4"/>
      <c r="I178" s="62"/>
      <c r="J178" s="4"/>
      <c r="K178" s="62"/>
      <c r="L178" s="4"/>
      <c r="M178" s="62"/>
      <c r="N178" s="4"/>
      <c r="O178" s="4"/>
    </row>
    <row r="179" spans="2:15" x14ac:dyDescent="0.25">
      <c r="B179" s="43"/>
      <c r="C179" s="4"/>
      <c r="D179" s="4"/>
      <c r="E179" s="4"/>
      <c r="F179" s="17"/>
      <c r="G179" s="62"/>
      <c r="H179" s="4"/>
      <c r="I179" s="62"/>
      <c r="J179" s="4"/>
      <c r="K179" s="62"/>
      <c r="L179" s="4"/>
      <c r="M179" s="62"/>
      <c r="N179" s="4"/>
      <c r="O179" s="4"/>
    </row>
    <row r="180" spans="2:15" x14ac:dyDescent="0.25">
      <c r="B180" s="43"/>
      <c r="C180" s="4"/>
      <c r="D180" s="4"/>
      <c r="E180" s="4"/>
      <c r="F180" s="17"/>
      <c r="G180" s="62"/>
      <c r="H180" s="4"/>
      <c r="I180" s="62"/>
      <c r="J180" s="4"/>
      <c r="K180" s="62"/>
      <c r="L180" s="4"/>
      <c r="M180" s="62"/>
      <c r="N180" s="4"/>
      <c r="O180" s="4"/>
    </row>
    <row r="181" spans="2:15" s="48" customFormat="1" x14ac:dyDescent="0.25">
      <c r="B181" s="43"/>
      <c r="C181" s="44"/>
      <c r="D181" s="44"/>
      <c r="E181" s="44"/>
      <c r="F181" s="46"/>
      <c r="G181" s="60"/>
      <c r="H181" s="44"/>
      <c r="I181" s="60"/>
      <c r="J181" s="44"/>
      <c r="K181" s="60"/>
      <c r="L181" s="44"/>
      <c r="M181" s="60"/>
      <c r="N181" s="44"/>
      <c r="O181" s="44"/>
    </row>
    <row r="182" spans="2:15" x14ac:dyDescent="0.25">
      <c r="B182" s="43"/>
      <c r="C182" s="4"/>
      <c r="D182" s="4"/>
      <c r="E182" s="4"/>
      <c r="F182" s="17"/>
      <c r="G182" s="62"/>
      <c r="H182" s="4"/>
      <c r="I182" s="62"/>
      <c r="J182" s="4"/>
      <c r="K182" s="62"/>
      <c r="L182" s="4"/>
      <c r="M182" s="62"/>
      <c r="N182" s="4"/>
      <c r="O182" s="4"/>
    </row>
    <row r="183" spans="2:15" x14ac:dyDescent="0.25">
      <c r="B183" s="43"/>
      <c r="C183" s="4"/>
      <c r="D183" s="4"/>
      <c r="E183" s="4"/>
      <c r="F183" s="17"/>
      <c r="G183" s="62"/>
      <c r="H183" s="4"/>
      <c r="I183" s="62"/>
      <c r="J183" s="4"/>
      <c r="K183" s="62"/>
      <c r="L183" s="4"/>
      <c r="M183" s="62"/>
      <c r="N183" s="4"/>
      <c r="O183" s="4"/>
    </row>
    <row r="184" spans="2:15" x14ac:dyDescent="0.25">
      <c r="B184" s="43"/>
      <c r="C184" s="4"/>
      <c r="D184" s="4"/>
      <c r="E184" s="4"/>
      <c r="F184" s="17"/>
      <c r="G184" s="62"/>
      <c r="H184" s="4"/>
      <c r="I184" s="62"/>
      <c r="J184" s="4"/>
      <c r="K184" s="62"/>
      <c r="L184" s="4"/>
      <c r="M184" s="62"/>
      <c r="N184" s="4"/>
      <c r="O184" s="4"/>
    </row>
    <row r="185" spans="2:15" x14ac:dyDescent="0.25">
      <c r="B185" s="43"/>
      <c r="C185" s="4"/>
      <c r="D185" s="4"/>
      <c r="E185" s="4"/>
      <c r="F185" s="17"/>
      <c r="G185" s="62"/>
      <c r="H185" s="4"/>
      <c r="I185" s="62"/>
      <c r="J185" s="4"/>
      <c r="K185" s="62"/>
      <c r="L185" s="4"/>
      <c r="M185" s="62"/>
      <c r="N185" s="4"/>
      <c r="O185" s="4"/>
    </row>
    <row r="186" spans="2:15" x14ac:dyDescent="0.25">
      <c r="B186" s="43"/>
      <c r="C186" s="4"/>
      <c r="D186" s="4"/>
      <c r="E186" s="4"/>
      <c r="F186" s="17"/>
      <c r="G186" s="62"/>
      <c r="H186" s="4"/>
      <c r="I186" s="62"/>
      <c r="J186" s="4"/>
      <c r="K186" s="62"/>
      <c r="L186" s="4"/>
      <c r="M186" s="62"/>
      <c r="N186" s="4"/>
      <c r="O186" s="4"/>
    </row>
    <row r="187" spans="2:15" x14ac:dyDescent="0.25">
      <c r="B187" s="43"/>
      <c r="C187" s="4"/>
      <c r="D187" s="4"/>
      <c r="E187" s="4"/>
      <c r="F187" s="17"/>
      <c r="G187" s="62"/>
      <c r="H187" s="4"/>
      <c r="I187" s="62"/>
      <c r="J187" s="4"/>
      <c r="K187" s="62"/>
      <c r="L187" s="4"/>
      <c r="M187" s="62"/>
      <c r="N187" s="4"/>
      <c r="O187" s="4"/>
    </row>
    <row r="188" spans="2:15" x14ac:dyDescent="0.25">
      <c r="B188" s="43"/>
      <c r="C188" s="4"/>
      <c r="D188" s="4"/>
      <c r="E188" s="4"/>
      <c r="F188" s="17"/>
      <c r="G188" s="62"/>
      <c r="H188" s="4"/>
      <c r="I188" s="62"/>
      <c r="J188" s="4"/>
      <c r="K188" s="62"/>
      <c r="L188" s="4"/>
      <c r="M188" s="62"/>
      <c r="N188" s="4"/>
      <c r="O188" s="4"/>
    </row>
    <row r="189" spans="2:15" x14ac:dyDescent="0.25">
      <c r="B189" s="43"/>
      <c r="C189" s="4"/>
      <c r="D189" s="4"/>
      <c r="E189" s="4"/>
      <c r="F189" s="17"/>
      <c r="G189" s="62"/>
      <c r="H189" s="4"/>
      <c r="I189" s="62"/>
      <c r="J189" s="4"/>
      <c r="K189" s="62"/>
      <c r="L189" s="4"/>
      <c r="M189" s="62"/>
      <c r="N189" s="4"/>
      <c r="O189" s="4"/>
    </row>
    <row r="190" spans="2:15" x14ac:dyDescent="0.25">
      <c r="B190" s="43"/>
      <c r="C190" s="4"/>
      <c r="D190" s="4"/>
      <c r="E190" s="4"/>
      <c r="F190" s="17"/>
      <c r="G190" s="62"/>
      <c r="H190" s="4"/>
      <c r="I190" s="62"/>
      <c r="J190" s="4"/>
      <c r="K190" s="62"/>
      <c r="L190" s="4"/>
      <c r="M190" s="62"/>
      <c r="N190" s="4"/>
      <c r="O190" s="4"/>
    </row>
    <row r="191" spans="2:15" x14ac:dyDescent="0.25">
      <c r="B191" s="43"/>
      <c r="C191" s="4"/>
      <c r="D191" s="4"/>
      <c r="E191" s="4"/>
      <c r="F191" s="17"/>
      <c r="G191" s="62"/>
      <c r="H191" s="4"/>
      <c r="I191" s="62"/>
      <c r="J191" s="4"/>
      <c r="K191" s="62"/>
      <c r="L191" s="4"/>
      <c r="M191" s="62"/>
      <c r="N191" s="4"/>
      <c r="O191" s="4"/>
    </row>
    <row r="192" spans="2:15" x14ac:dyDescent="0.25">
      <c r="B192" s="43"/>
      <c r="C192" s="4"/>
      <c r="D192" s="4"/>
      <c r="E192" s="4"/>
      <c r="F192" s="17"/>
      <c r="G192" s="62"/>
      <c r="H192" s="4"/>
      <c r="I192" s="62"/>
      <c r="J192" s="4"/>
      <c r="K192" s="62"/>
      <c r="L192" s="4"/>
      <c r="M192" s="62"/>
      <c r="N192" s="4"/>
      <c r="O192" s="4"/>
    </row>
    <row r="193" spans="2:15" x14ac:dyDescent="0.25">
      <c r="B193" s="43"/>
      <c r="C193" s="4"/>
      <c r="D193" s="4"/>
      <c r="E193" s="4"/>
      <c r="F193" s="17"/>
      <c r="G193" s="62"/>
      <c r="H193" s="4"/>
      <c r="I193" s="62"/>
      <c r="J193" s="4"/>
      <c r="K193" s="62"/>
      <c r="L193" s="4"/>
      <c r="M193" s="62"/>
      <c r="N193" s="4"/>
      <c r="O193" s="4"/>
    </row>
    <row r="194" spans="2:15" x14ac:dyDescent="0.25">
      <c r="B194" s="43"/>
      <c r="C194" s="4"/>
      <c r="D194" s="4"/>
      <c r="E194" s="4"/>
      <c r="F194" s="17"/>
      <c r="G194" s="62"/>
      <c r="H194" s="4"/>
      <c r="I194" s="62"/>
      <c r="J194" s="4"/>
      <c r="K194" s="62"/>
      <c r="L194" s="4"/>
      <c r="M194" s="62"/>
      <c r="N194" s="4"/>
      <c r="O194" s="4"/>
    </row>
    <row r="195" spans="2:15" x14ac:dyDescent="0.25">
      <c r="B195" s="43"/>
      <c r="C195" s="4"/>
      <c r="D195" s="4"/>
      <c r="E195" s="4"/>
      <c r="F195" s="17"/>
      <c r="G195" s="62"/>
      <c r="H195" s="17"/>
      <c r="I195" s="62"/>
      <c r="J195" s="4"/>
      <c r="K195" s="62"/>
      <c r="L195" s="4"/>
      <c r="M195" s="62"/>
      <c r="N195" s="4"/>
      <c r="O195" s="4"/>
    </row>
    <row r="196" spans="2:15" x14ac:dyDescent="0.25">
      <c r="B196" s="43"/>
      <c r="C196" s="44"/>
      <c r="D196" s="4"/>
      <c r="E196" s="4"/>
      <c r="F196" s="17"/>
      <c r="G196" s="62"/>
      <c r="H196" s="4"/>
      <c r="I196" s="62"/>
      <c r="J196" s="4"/>
      <c r="K196" s="62"/>
      <c r="L196" s="4"/>
      <c r="M196" s="62"/>
      <c r="N196" s="4"/>
      <c r="O196" s="4"/>
    </row>
    <row r="197" spans="2:15" x14ac:dyDescent="0.25">
      <c r="B197" s="43"/>
      <c r="C197" s="39"/>
      <c r="D197" s="4"/>
      <c r="E197" s="4"/>
      <c r="F197" s="17"/>
      <c r="G197" s="62"/>
      <c r="H197" s="4"/>
      <c r="I197" s="62"/>
      <c r="J197" s="4"/>
      <c r="K197" s="62"/>
      <c r="L197" s="4"/>
      <c r="M197" s="62"/>
      <c r="N197" s="4"/>
      <c r="O197" s="4"/>
    </row>
    <row r="198" spans="2:15" x14ac:dyDescent="0.25">
      <c r="B198" s="43"/>
      <c r="C198" s="39"/>
      <c r="D198" s="4"/>
      <c r="E198" s="4"/>
      <c r="F198" s="17"/>
      <c r="G198" s="62"/>
      <c r="H198" s="4"/>
      <c r="I198" s="62"/>
      <c r="J198" s="4"/>
      <c r="K198" s="62"/>
      <c r="L198" s="4"/>
      <c r="M198" s="62"/>
      <c r="N198" s="4"/>
      <c r="O198" s="4"/>
    </row>
    <row r="199" spans="2:15" x14ac:dyDescent="0.25">
      <c r="B199" s="43"/>
      <c r="C199" s="39"/>
      <c r="D199" s="4"/>
      <c r="E199" s="4"/>
      <c r="F199" s="17"/>
      <c r="G199" s="62"/>
      <c r="H199" s="17"/>
      <c r="I199" s="62"/>
      <c r="J199" s="4"/>
      <c r="K199" s="62"/>
      <c r="L199" s="4"/>
      <c r="M199" s="62"/>
      <c r="N199" s="4"/>
      <c r="O199" s="4"/>
    </row>
    <row r="200" spans="2:15" x14ac:dyDescent="0.25">
      <c r="B200" s="43"/>
      <c r="C200" s="4"/>
      <c r="D200" s="4"/>
      <c r="E200" s="4"/>
      <c r="F200" s="17"/>
      <c r="G200" s="62"/>
      <c r="H200" s="4"/>
      <c r="I200" s="62"/>
      <c r="J200" s="4"/>
      <c r="K200" s="62"/>
      <c r="L200" s="4"/>
      <c r="M200" s="62"/>
      <c r="N200" s="4"/>
      <c r="O200" s="4"/>
    </row>
    <row r="201" spans="2:15" x14ac:dyDescent="0.25">
      <c r="B201" s="43"/>
      <c r="C201" s="4"/>
      <c r="D201" s="4"/>
      <c r="E201" s="4"/>
      <c r="F201" s="17"/>
      <c r="G201" s="62"/>
      <c r="H201" s="4"/>
      <c r="I201" s="62"/>
      <c r="J201" s="4"/>
      <c r="K201" s="62"/>
      <c r="L201" s="4"/>
      <c r="M201" s="62"/>
      <c r="N201" s="4"/>
      <c r="O201" s="4"/>
    </row>
    <row r="202" spans="2:15" x14ac:dyDescent="0.25">
      <c r="B202" s="43"/>
      <c r="C202" s="4"/>
      <c r="D202" s="4"/>
      <c r="E202" s="4"/>
      <c r="F202" s="17"/>
      <c r="G202" s="62"/>
      <c r="H202" s="4"/>
      <c r="I202" s="62"/>
      <c r="J202" s="4"/>
      <c r="K202" s="62"/>
      <c r="L202" s="4"/>
      <c r="M202" s="62"/>
      <c r="N202" s="4"/>
      <c r="O202" s="4"/>
    </row>
    <row r="203" spans="2:15" x14ac:dyDescent="0.25">
      <c r="B203" s="43"/>
      <c r="C203" s="4"/>
      <c r="D203" s="4"/>
      <c r="E203" s="4"/>
      <c r="F203" s="17"/>
      <c r="G203" s="62"/>
      <c r="H203" s="4"/>
      <c r="I203" s="62"/>
      <c r="J203" s="4"/>
      <c r="K203" s="62"/>
      <c r="L203" s="4"/>
      <c r="M203" s="62"/>
      <c r="N203" s="4"/>
      <c r="O203" s="4"/>
    </row>
    <row r="204" spans="2:15" x14ac:dyDescent="0.25">
      <c r="B204" s="43"/>
      <c r="C204" s="4"/>
      <c r="D204" s="4"/>
      <c r="E204" s="4"/>
      <c r="F204" s="17"/>
      <c r="G204" s="62"/>
      <c r="H204" s="4"/>
      <c r="I204" s="62"/>
      <c r="J204" s="4"/>
      <c r="K204" s="62"/>
      <c r="L204" s="4"/>
      <c r="M204" s="62"/>
      <c r="N204" s="4"/>
      <c r="O204" s="4"/>
    </row>
    <row r="205" spans="2:15" x14ac:dyDescent="0.25">
      <c r="B205" s="43"/>
      <c r="C205" s="4"/>
      <c r="D205" s="4"/>
      <c r="E205" s="4"/>
      <c r="F205" s="17"/>
      <c r="G205" s="62"/>
      <c r="H205" s="4"/>
      <c r="I205" s="62"/>
      <c r="J205" s="4"/>
      <c r="K205" s="62"/>
      <c r="L205" s="4"/>
      <c r="M205" s="62"/>
      <c r="N205" s="4"/>
      <c r="O205" s="4"/>
    </row>
    <row r="206" spans="2:15" x14ac:dyDescent="0.25">
      <c r="B206" s="43"/>
      <c r="C206" s="4"/>
      <c r="D206" s="4"/>
      <c r="E206" s="4"/>
      <c r="F206" s="17"/>
      <c r="G206" s="62"/>
      <c r="H206" s="4"/>
      <c r="I206" s="62"/>
      <c r="J206" s="4"/>
      <c r="K206" s="62"/>
      <c r="L206" s="4"/>
      <c r="M206" s="62"/>
      <c r="N206" s="4"/>
      <c r="O206" s="4"/>
    </row>
    <row r="207" spans="2:15" x14ac:dyDescent="0.25">
      <c r="B207" s="43"/>
      <c r="C207" s="4"/>
      <c r="D207" s="4"/>
      <c r="E207" s="4"/>
      <c r="F207" s="17"/>
      <c r="G207" s="62"/>
      <c r="H207" s="4"/>
      <c r="I207" s="62"/>
      <c r="J207" s="4"/>
      <c r="K207" s="62"/>
      <c r="L207" s="4"/>
      <c r="M207" s="62"/>
      <c r="N207" s="4"/>
      <c r="O207" s="4"/>
    </row>
    <row r="208" spans="2:15" x14ac:dyDescent="0.25">
      <c r="B208" s="43"/>
      <c r="C208" s="4"/>
      <c r="D208" s="4"/>
      <c r="E208" s="4"/>
      <c r="F208" s="17"/>
      <c r="G208" s="62"/>
      <c r="H208" s="4"/>
      <c r="I208" s="62"/>
      <c r="J208" s="4"/>
      <c r="K208" s="62"/>
      <c r="L208" s="4"/>
      <c r="M208" s="62"/>
      <c r="N208" s="4"/>
      <c r="O208" s="4"/>
    </row>
    <row r="209" spans="2:15" x14ac:dyDescent="0.25">
      <c r="B209" s="43"/>
      <c r="C209" s="4"/>
      <c r="D209" s="4"/>
      <c r="E209" s="4"/>
      <c r="F209" s="17"/>
      <c r="G209" s="62"/>
      <c r="H209" s="4"/>
      <c r="I209" s="62"/>
      <c r="J209" s="4"/>
      <c r="K209" s="62"/>
      <c r="L209" s="4"/>
      <c r="M209" s="62"/>
      <c r="N209" s="4"/>
      <c r="O209" s="4"/>
    </row>
    <row r="210" spans="2:15" x14ac:dyDescent="0.25">
      <c r="B210" s="43"/>
      <c r="C210" s="4"/>
      <c r="D210" s="4"/>
      <c r="E210" s="4"/>
      <c r="F210" s="17"/>
      <c r="G210" s="62"/>
      <c r="H210" s="4"/>
      <c r="I210" s="62"/>
      <c r="J210" s="4"/>
      <c r="K210" s="62"/>
      <c r="L210" s="4"/>
      <c r="M210" s="62"/>
      <c r="N210" s="4"/>
      <c r="O210" s="4"/>
    </row>
    <row r="211" spans="2:15" x14ac:dyDescent="0.25">
      <c r="B211" s="43"/>
      <c r="C211" s="4"/>
      <c r="D211" s="4"/>
      <c r="E211" s="4"/>
      <c r="F211" s="17"/>
      <c r="G211" s="62"/>
      <c r="H211" s="4"/>
      <c r="I211" s="62"/>
      <c r="J211" s="4"/>
      <c r="K211" s="62"/>
      <c r="L211" s="4"/>
      <c r="M211" s="62"/>
      <c r="N211" s="4"/>
      <c r="O211" s="4"/>
    </row>
    <row r="212" spans="2:15" x14ac:dyDescent="0.25">
      <c r="B212" s="43"/>
      <c r="C212" s="4"/>
      <c r="D212" s="4"/>
      <c r="E212" s="4"/>
      <c r="F212" s="17"/>
      <c r="G212" s="62"/>
      <c r="H212" s="4"/>
      <c r="I212" s="62"/>
      <c r="J212" s="4"/>
      <c r="K212" s="62"/>
      <c r="L212" s="4"/>
      <c r="M212" s="62"/>
      <c r="N212" s="4"/>
      <c r="O212" s="4"/>
    </row>
    <row r="213" spans="2:15" x14ac:dyDescent="0.25">
      <c r="B213" s="43"/>
      <c r="C213" s="4"/>
      <c r="D213" s="4"/>
      <c r="E213" s="4"/>
      <c r="F213" s="17"/>
      <c r="G213" s="62"/>
      <c r="H213" s="4"/>
      <c r="I213" s="62"/>
      <c r="J213" s="4"/>
      <c r="K213" s="62"/>
      <c r="L213" s="4"/>
      <c r="M213" s="62"/>
      <c r="N213" s="4"/>
      <c r="O213" s="4"/>
    </row>
    <row r="214" spans="2:15" x14ac:dyDescent="0.25">
      <c r="B214" s="43"/>
      <c r="C214" s="4"/>
      <c r="D214" s="4"/>
      <c r="E214" s="4"/>
      <c r="F214" s="17"/>
      <c r="G214" s="62"/>
      <c r="H214" s="4"/>
      <c r="I214" s="62"/>
      <c r="J214" s="4"/>
      <c r="K214" s="62"/>
      <c r="L214" s="4"/>
      <c r="M214" s="62"/>
      <c r="N214" s="4"/>
      <c r="O214" s="4"/>
    </row>
    <row r="215" spans="2:15" x14ac:dyDescent="0.25">
      <c r="B215" s="43"/>
      <c r="C215" s="4"/>
      <c r="D215" s="4"/>
      <c r="E215" s="4"/>
      <c r="F215" s="17"/>
      <c r="G215" s="62"/>
      <c r="H215" s="4"/>
      <c r="I215" s="62"/>
      <c r="J215" s="4"/>
      <c r="K215" s="62"/>
      <c r="L215" s="4"/>
      <c r="M215" s="62"/>
      <c r="N215" s="4"/>
      <c r="O215" s="4"/>
    </row>
    <row r="216" spans="2:15" x14ac:dyDescent="0.25">
      <c r="B216" s="43"/>
      <c r="C216" s="4"/>
      <c r="D216" s="4"/>
      <c r="E216" s="4"/>
      <c r="F216" s="17"/>
      <c r="G216" s="62"/>
      <c r="H216" s="4"/>
      <c r="I216" s="62"/>
      <c r="J216" s="4"/>
      <c r="K216" s="62"/>
      <c r="L216" s="4"/>
      <c r="M216" s="62"/>
      <c r="N216" s="4"/>
      <c r="O216" s="4"/>
    </row>
    <row r="217" spans="2:15" x14ac:dyDescent="0.25">
      <c r="B217" s="43"/>
      <c r="C217" s="4"/>
      <c r="D217" s="4"/>
      <c r="E217" s="4"/>
      <c r="F217" s="17"/>
      <c r="G217" s="62"/>
      <c r="H217" s="4"/>
      <c r="I217" s="62"/>
      <c r="J217" s="4"/>
      <c r="K217" s="62"/>
      <c r="L217" s="4"/>
      <c r="M217" s="62"/>
      <c r="N217" s="4"/>
      <c r="O217" s="4"/>
    </row>
    <row r="218" spans="2:15" x14ac:dyDescent="0.25">
      <c r="B218" s="43"/>
      <c r="C218" s="4"/>
      <c r="D218" s="4"/>
      <c r="E218" s="4"/>
      <c r="F218" s="17"/>
      <c r="G218" s="62"/>
      <c r="H218" s="4"/>
      <c r="I218" s="62"/>
      <c r="J218" s="4"/>
      <c r="K218" s="62"/>
      <c r="L218" s="4"/>
      <c r="M218" s="62"/>
      <c r="N218" s="4"/>
      <c r="O218" s="4"/>
    </row>
    <row r="219" spans="2:15" x14ac:dyDescent="0.25">
      <c r="B219" s="43"/>
      <c r="C219" s="4"/>
      <c r="D219" s="4"/>
      <c r="E219" s="4"/>
      <c r="F219" s="17"/>
      <c r="G219" s="62"/>
      <c r="H219" s="4"/>
      <c r="I219" s="62"/>
      <c r="J219" s="4"/>
      <c r="K219" s="62"/>
      <c r="L219" s="4"/>
      <c r="M219" s="62"/>
      <c r="N219" s="4"/>
      <c r="O219" s="4"/>
    </row>
    <row r="220" spans="2:15" x14ac:dyDescent="0.25">
      <c r="B220" s="43"/>
      <c r="C220" s="4"/>
      <c r="D220" s="4"/>
      <c r="E220" s="4"/>
      <c r="F220" s="17"/>
      <c r="G220" s="62"/>
      <c r="H220" s="4"/>
      <c r="I220" s="62"/>
      <c r="J220" s="4"/>
      <c r="K220" s="62"/>
      <c r="L220" s="4"/>
      <c r="M220" s="62"/>
      <c r="N220" s="4"/>
      <c r="O220" s="4"/>
    </row>
    <row r="221" spans="2:15" x14ac:dyDescent="0.25">
      <c r="B221" s="43"/>
      <c r="C221" s="4"/>
      <c r="D221" s="69"/>
      <c r="E221" s="69"/>
      <c r="F221" s="12"/>
      <c r="G221" s="62"/>
      <c r="H221" s="4"/>
      <c r="I221" s="62"/>
      <c r="J221" s="4"/>
      <c r="K221" s="62"/>
      <c r="L221" s="4"/>
      <c r="M221" s="62"/>
      <c r="N221" s="4"/>
      <c r="O221" s="4"/>
    </row>
    <row r="222" spans="2:15" x14ac:dyDescent="0.25">
      <c r="B222" s="43"/>
      <c r="C222" s="4"/>
      <c r="D222" s="4"/>
      <c r="E222" s="4"/>
      <c r="F222" s="17"/>
      <c r="G222" s="62"/>
      <c r="H222" s="4"/>
      <c r="I222" s="62"/>
      <c r="J222" s="4"/>
      <c r="K222" s="62"/>
      <c r="L222" s="4"/>
      <c r="M222" s="62"/>
      <c r="N222" s="4"/>
      <c r="O222" s="4"/>
    </row>
    <row r="223" spans="2:15" x14ac:dyDescent="0.25">
      <c r="B223" s="43"/>
      <c r="C223" s="4"/>
      <c r="D223" s="4"/>
      <c r="E223" s="4"/>
      <c r="F223" s="15"/>
      <c r="G223" s="62"/>
      <c r="H223" s="4"/>
      <c r="I223" s="62"/>
      <c r="J223" s="4"/>
      <c r="K223" s="62"/>
      <c r="L223" s="4"/>
      <c r="M223" s="62"/>
      <c r="N223" s="4"/>
      <c r="O223" s="4"/>
    </row>
    <row r="224" spans="2:15" x14ac:dyDescent="0.25">
      <c r="B224" s="43"/>
      <c r="C224" s="4"/>
      <c r="D224" s="4"/>
      <c r="E224" s="4"/>
      <c r="F224" s="17"/>
      <c r="G224" s="62"/>
      <c r="H224" s="4"/>
      <c r="I224" s="62"/>
      <c r="J224" s="4"/>
      <c r="K224" s="62"/>
      <c r="L224" s="4"/>
      <c r="M224" s="62"/>
      <c r="N224" s="4"/>
      <c r="O224" s="4"/>
    </row>
    <row r="225" spans="2:15" x14ac:dyDescent="0.25">
      <c r="B225" s="43"/>
      <c r="C225" s="39"/>
      <c r="D225" s="4"/>
      <c r="E225" s="4"/>
      <c r="F225" s="17"/>
      <c r="G225" s="62"/>
      <c r="H225" s="4"/>
      <c r="I225" s="62"/>
      <c r="J225" s="4"/>
      <c r="K225" s="62"/>
      <c r="L225" s="4"/>
      <c r="M225" s="62"/>
      <c r="N225" s="4"/>
      <c r="O225" s="4"/>
    </row>
    <row r="226" spans="2:15" x14ac:dyDescent="0.25">
      <c r="B226" s="43"/>
      <c r="C226" s="39"/>
      <c r="D226" s="4"/>
      <c r="E226" s="4"/>
      <c r="F226" s="17"/>
      <c r="G226" s="62"/>
      <c r="H226" s="4"/>
      <c r="I226" s="62"/>
      <c r="J226" s="4"/>
      <c r="K226" s="62"/>
      <c r="L226" s="4"/>
      <c r="M226" s="62"/>
      <c r="N226" s="4"/>
      <c r="O226" s="4"/>
    </row>
    <row r="227" spans="2:15" x14ac:dyDescent="0.25">
      <c r="B227" s="43"/>
      <c r="C227" s="39"/>
      <c r="D227" s="4"/>
      <c r="E227" s="4"/>
      <c r="F227" s="17"/>
      <c r="G227" s="62"/>
      <c r="H227" s="4"/>
      <c r="I227" s="62"/>
      <c r="J227" s="4"/>
      <c r="K227" s="62"/>
      <c r="L227" s="4"/>
      <c r="M227" s="62"/>
      <c r="N227" s="4"/>
      <c r="O227" s="4"/>
    </row>
    <row r="228" spans="2:15" x14ac:dyDescent="0.25">
      <c r="B228" s="43"/>
      <c r="C228" s="4"/>
      <c r="D228" s="4"/>
      <c r="E228" s="4"/>
      <c r="F228" s="17"/>
      <c r="G228" s="62"/>
      <c r="H228" s="4"/>
      <c r="I228" s="62"/>
      <c r="J228" s="4"/>
      <c r="K228" s="62"/>
      <c r="L228" s="4"/>
      <c r="M228" s="62"/>
      <c r="N228" s="4"/>
      <c r="O228" s="4"/>
    </row>
    <row r="229" spans="2:15" x14ac:dyDescent="0.25">
      <c r="B229" s="43"/>
      <c r="C229" s="4"/>
      <c r="D229" s="4"/>
      <c r="E229" s="4"/>
      <c r="F229" s="17"/>
      <c r="G229" s="62"/>
      <c r="H229" s="4"/>
      <c r="I229" s="62"/>
      <c r="J229" s="4"/>
      <c r="K229" s="62"/>
      <c r="L229" s="4"/>
      <c r="M229" s="62"/>
      <c r="N229" s="4"/>
      <c r="O229" s="4"/>
    </row>
    <row r="230" spans="2:15" x14ac:dyDescent="0.25">
      <c r="B230" s="43"/>
      <c r="C230" s="4"/>
      <c r="D230" s="4"/>
      <c r="E230" s="4"/>
      <c r="F230" s="17"/>
      <c r="G230" s="62"/>
      <c r="H230" s="4"/>
      <c r="I230" s="62"/>
      <c r="J230" s="4"/>
      <c r="K230" s="62"/>
      <c r="L230" s="4"/>
      <c r="M230" s="62"/>
      <c r="N230" s="4"/>
      <c r="O230" s="4"/>
    </row>
    <row r="231" spans="2:15" x14ac:dyDescent="0.25">
      <c r="B231" s="43"/>
      <c r="C231" s="4"/>
      <c r="D231" s="4"/>
      <c r="E231" s="4"/>
      <c r="F231" s="17"/>
      <c r="G231" s="62"/>
      <c r="H231" s="4"/>
      <c r="I231" s="62"/>
      <c r="J231" s="4"/>
      <c r="K231" s="62"/>
      <c r="L231" s="4"/>
      <c r="M231" s="62"/>
      <c r="N231" s="4"/>
      <c r="O231" s="4"/>
    </row>
    <row r="232" spans="2:15" x14ac:dyDescent="0.25">
      <c r="B232" s="43"/>
      <c r="C232" s="4"/>
      <c r="D232" s="4"/>
      <c r="E232" s="4"/>
      <c r="F232" s="17"/>
      <c r="G232" s="62"/>
      <c r="H232" s="4"/>
      <c r="I232" s="62"/>
      <c r="J232" s="4"/>
      <c r="K232" s="62"/>
      <c r="L232" s="4"/>
      <c r="M232" s="62"/>
      <c r="N232" s="4"/>
      <c r="O232" s="4"/>
    </row>
    <row r="233" spans="2:15" x14ac:dyDescent="0.25">
      <c r="B233" s="43"/>
      <c r="C233" s="4"/>
      <c r="D233" s="4"/>
      <c r="E233" s="4"/>
      <c r="F233" s="17"/>
      <c r="G233" s="62"/>
      <c r="H233" s="4"/>
      <c r="I233" s="62"/>
      <c r="J233" s="4"/>
      <c r="K233" s="62"/>
      <c r="L233" s="4"/>
      <c r="M233" s="62"/>
      <c r="N233" s="4"/>
      <c r="O233" s="4"/>
    </row>
    <row r="234" spans="2:15" x14ac:dyDescent="0.25">
      <c r="B234" s="43"/>
      <c r="C234" s="4"/>
      <c r="D234" s="4"/>
      <c r="E234" s="4"/>
      <c r="F234" s="17"/>
      <c r="G234" s="62"/>
      <c r="H234" s="4"/>
      <c r="I234" s="62"/>
      <c r="J234" s="4"/>
      <c r="K234" s="62"/>
      <c r="L234" s="4"/>
      <c r="M234" s="62"/>
      <c r="N234" s="4"/>
      <c r="O234" s="4"/>
    </row>
    <row r="235" spans="2:15" x14ac:dyDescent="0.25">
      <c r="B235" s="43"/>
      <c r="C235" s="4"/>
      <c r="D235" s="4"/>
      <c r="E235" s="4"/>
      <c r="F235" s="17"/>
      <c r="G235" s="62"/>
      <c r="H235" s="4"/>
      <c r="I235" s="62"/>
      <c r="J235" s="4"/>
      <c r="K235" s="62"/>
      <c r="L235" s="4"/>
      <c r="M235" s="62"/>
      <c r="N235" s="4"/>
      <c r="O235" s="4"/>
    </row>
    <row r="236" spans="2:15" x14ac:dyDescent="0.25">
      <c r="B236" s="43"/>
      <c r="C236" s="4"/>
      <c r="D236" s="4"/>
      <c r="E236" s="4"/>
      <c r="F236" s="17"/>
      <c r="G236" s="62"/>
      <c r="H236" s="4"/>
      <c r="I236" s="62"/>
      <c r="J236" s="4"/>
      <c r="K236" s="62"/>
      <c r="L236" s="4"/>
      <c r="M236" s="62"/>
      <c r="N236" s="4"/>
      <c r="O236" s="4"/>
    </row>
    <row r="237" spans="2:15" x14ac:dyDescent="0.25">
      <c r="B237" s="43"/>
      <c r="C237" s="4"/>
      <c r="D237" s="4"/>
      <c r="E237" s="4"/>
      <c r="F237" s="17"/>
      <c r="G237" s="62"/>
      <c r="H237" s="4"/>
      <c r="I237" s="62"/>
      <c r="J237" s="4"/>
      <c r="K237" s="62"/>
      <c r="L237" s="4"/>
      <c r="M237" s="62"/>
      <c r="N237" s="4"/>
      <c r="O237" s="4"/>
    </row>
    <row r="238" spans="2:15" x14ac:dyDescent="0.25">
      <c r="B238" s="43"/>
      <c r="C238" s="4"/>
      <c r="D238" s="4"/>
      <c r="E238" s="4"/>
      <c r="F238" s="17"/>
      <c r="G238" s="62"/>
      <c r="H238" s="4"/>
      <c r="I238" s="62"/>
      <c r="J238" s="4"/>
      <c r="K238" s="62"/>
      <c r="L238" s="4"/>
      <c r="M238" s="62"/>
      <c r="N238" s="4"/>
      <c r="O238" s="4"/>
    </row>
    <row r="239" spans="2:15" x14ac:dyDescent="0.25">
      <c r="B239" s="43"/>
      <c r="C239" s="4"/>
      <c r="D239" s="4"/>
      <c r="E239" s="4"/>
      <c r="F239" s="17"/>
      <c r="G239" s="62"/>
      <c r="H239" s="4"/>
      <c r="I239" s="62"/>
      <c r="J239" s="4"/>
      <c r="K239" s="62"/>
      <c r="L239" s="4"/>
      <c r="M239" s="62"/>
      <c r="N239" s="4"/>
      <c r="O239" s="4"/>
    </row>
    <row r="240" spans="2:15" x14ac:dyDescent="0.25">
      <c r="B240" s="43"/>
      <c r="C240" s="4"/>
      <c r="D240" s="4"/>
      <c r="E240" s="4"/>
      <c r="F240" s="17"/>
      <c r="G240" s="62"/>
      <c r="H240" s="4"/>
      <c r="I240" s="62"/>
      <c r="J240" s="4"/>
      <c r="K240" s="62"/>
      <c r="L240" s="4"/>
      <c r="M240" s="62"/>
      <c r="N240" s="4"/>
      <c r="O240" s="4"/>
    </row>
    <row r="241" spans="2:15" x14ac:dyDescent="0.25">
      <c r="B241" s="43"/>
      <c r="C241" s="4"/>
      <c r="D241" s="4"/>
      <c r="E241" s="4"/>
      <c r="F241" s="17"/>
      <c r="G241" s="62"/>
      <c r="H241" s="4"/>
      <c r="I241" s="62"/>
      <c r="J241" s="4"/>
      <c r="K241" s="62"/>
      <c r="L241" s="4"/>
      <c r="M241" s="62"/>
      <c r="N241" s="4"/>
      <c r="O241" s="4"/>
    </row>
    <row r="242" spans="2:15" x14ac:dyDescent="0.25">
      <c r="B242" s="43"/>
      <c r="C242" s="4"/>
      <c r="D242" s="4"/>
      <c r="E242" s="4"/>
      <c r="F242" s="17"/>
      <c r="G242" s="62"/>
      <c r="H242" s="4"/>
      <c r="I242" s="62"/>
      <c r="J242" s="4"/>
      <c r="K242" s="62"/>
      <c r="L242" s="4"/>
      <c r="M242" s="62"/>
      <c r="N242" s="4"/>
      <c r="O242" s="4"/>
    </row>
    <row r="243" spans="2:15" x14ac:dyDescent="0.25">
      <c r="B243" s="43"/>
      <c r="C243" s="4"/>
      <c r="D243" s="4"/>
      <c r="E243" s="4"/>
      <c r="F243" s="17"/>
      <c r="G243" s="62"/>
      <c r="H243" s="4"/>
      <c r="I243" s="62"/>
      <c r="J243" s="4"/>
      <c r="K243" s="62"/>
      <c r="L243" s="4"/>
      <c r="M243" s="62"/>
      <c r="N243" s="4"/>
      <c r="O243" s="4"/>
    </row>
    <row r="244" spans="2:15" x14ac:dyDescent="0.25">
      <c r="B244" s="43"/>
      <c r="C244" s="4"/>
      <c r="D244" s="4"/>
      <c r="E244" s="4"/>
      <c r="F244" s="17"/>
      <c r="G244" s="62"/>
      <c r="H244" s="4"/>
      <c r="I244" s="62"/>
      <c r="J244" s="4"/>
      <c r="K244" s="62"/>
      <c r="L244" s="4"/>
      <c r="M244" s="62"/>
      <c r="N244" s="4"/>
      <c r="O244" s="4"/>
    </row>
    <row r="245" spans="2:15" x14ac:dyDescent="0.25">
      <c r="B245" s="43"/>
      <c r="C245" s="4"/>
      <c r="D245" s="4"/>
      <c r="E245" s="4"/>
      <c r="F245" s="17"/>
      <c r="G245" s="62"/>
      <c r="H245" s="4"/>
      <c r="I245" s="62"/>
      <c r="J245" s="4"/>
      <c r="K245" s="62"/>
      <c r="L245" s="4"/>
      <c r="M245" s="62"/>
      <c r="N245" s="4"/>
      <c r="O245" s="4"/>
    </row>
    <row r="246" spans="2:15" x14ac:dyDescent="0.25">
      <c r="B246" s="43"/>
      <c r="C246" s="4"/>
      <c r="D246" s="4"/>
      <c r="E246" s="4"/>
      <c r="F246" s="17"/>
      <c r="G246" s="62"/>
      <c r="H246" s="4"/>
      <c r="I246" s="62"/>
      <c r="J246" s="4"/>
      <c r="K246" s="62"/>
      <c r="L246" s="4"/>
      <c r="M246" s="62"/>
      <c r="N246" s="4"/>
      <c r="O246" s="4"/>
    </row>
    <row r="247" spans="2:15" x14ac:dyDescent="0.25">
      <c r="B247" s="43"/>
      <c r="C247" s="4"/>
      <c r="D247" s="4"/>
      <c r="E247" s="4"/>
      <c r="F247" s="17"/>
      <c r="G247" s="62"/>
      <c r="H247" s="4"/>
      <c r="I247" s="62"/>
      <c r="J247" s="4"/>
      <c r="K247" s="62"/>
      <c r="L247" s="4"/>
      <c r="M247" s="62"/>
      <c r="N247" s="4"/>
      <c r="O247" s="4"/>
    </row>
    <row r="248" spans="2:15" x14ac:dyDescent="0.25">
      <c r="B248" s="43"/>
      <c r="C248" s="4"/>
      <c r="D248" s="4"/>
      <c r="E248" s="4"/>
      <c r="F248" s="17"/>
      <c r="G248" s="62"/>
      <c r="H248" s="4"/>
      <c r="I248" s="62"/>
      <c r="J248" s="4"/>
      <c r="K248" s="62"/>
      <c r="L248" s="4"/>
      <c r="M248" s="62"/>
      <c r="N248" s="4"/>
      <c r="O248" s="4"/>
    </row>
    <row r="249" spans="2:15" x14ac:dyDescent="0.25">
      <c r="B249" s="43"/>
      <c r="C249" s="4"/>
      <c r="D249" s="4"/>
      <c r="E249" s="4"/>
      <c r="F249" s="17"/>
      <c r="G249" s="62"/>
      <c r="H249" s="15"/>
      <c r="I249" s="66"/>
      <c r="J249" s="4"/>
      <c r="K249" s="62"/>
      <c r="L249" s="4"/>
      <c r="M249" s="62"/>
      <c r="N249" s="4"/>
      <c r="O249" s="4"/>
    </row>
    <row r="250" spans="2:15" x14ac:dyDescent="0.25">
      <c r="B250" s="43"/>
      <c r="C250" s="4"/>
      <c r="D250" s="4"/>
      <c r="E250" s="4"/>
      <c r="F250" s="17"/>
      <c r="G250" s="62"/>
      <c r="H250" s="4"/>
      <c r="I250" s="62"/>
      <c r="J250" s="4"/>
      <c r="K250" s="62"/>
      <c r="L250" s="4"/>
      <c r="M250" s="62"/>
      <c r="N250" s="4"/>
      <c r="O250" s="4"/>
    </row>
    <row r="251" spans="2:15" x14ac:dyDescent="0.25">
      <c r="B251" s="43"/>
      <c r="C251" s="4"/>
      <c r="D251" s="4"/>
      <c r="E251" s="4"/>
      <c r="F251" s="17"/>
      <c r="G251" s="62"/>
      <c r="H251" s="4"/>
      <c r="I251" s="62"/>
      <c r="J251" s="4"/>
      <c r="K251" s="62"/>
      <c r="L251" s="4"/>
      <c r="M251" s="62"/>
      <c r="N251" s="4"/>
      <c r="O251" s="4"/>
    </row>
    <row r="252" spans="2:15" x14ac:dyDescent="0.25">
      <c r="B252" s="43"/>
      <c r="C252" s="39"/>
      <c r="D252" s="4"/>
      <c r="E252" s="4"/>
      <c r="F252" s="17"/>
      <c r="G252" s="62"/>
      <c r="H252" s="4"/>
      <c r="I252" s="62"/>
      <c r="J252" s="4"/>
      <c r="K252" s="62"/>
      <c r="L252" s="4"/>
      <c r="M252" s="62"/>
      <c r="N252" s="4"/>
      <c r="O252" s="4"/>
    </row>
    <row r="253" spans="2:15" x14ac:dyDescent="0.25">
      <c r="B253" s="43"/>
      <c r="C253" s="39"/>
      <c r="D253" s="4"/>
      <c r="E253" s="4"/>
      <c r="F253" s="17"/>
      <c r="G253" s="62"/>
      <c r="H253" s="4"/>
      <c r="I253" s="62"/>
      <c r="J253" s="4"/>
      <c r="K253" s="62"/>
      <c r="L253" s="4"/>
      <c r="M253" s="62"/>
      <c r="N253" s="4"/>
      <c r="O253" s="4"/>
    </row>
    <row r="254" spans="2:15" x14ac:dyDescent="0.25">
      <c r="B254" s="43"/>
      <c r="C254" s="4"/>
      <c r="D254" s="4"/>
      <c r="E254" s="4"/>
      <c r="F254" s="17"/>
      <c r="G254" s="62"/>
      <c r="H254" s="4"/>
      <c r="I254" s="62"/>
      <c r="J254" s="4"/>
      <c r="K254" s="62"/>
      <c r="L254" s="4"/>
      <c r="M254" s="62"/>
      <c r="N254" s="4"/>
      <c r="O254" s="4"/>
    </row>
    <row r="255" spans="2:15" x14ac:dyDescent="0.25">
      <c r="B255" s="43"/>
      <c r="C255" s="4"/>
      <c r="D255" s="4"/>
      <c r="E255" s="4"/>
      <c r="F255" s="17"/>
      <c r="G255" s="62"/>
      <c r="H255" s="4"/>
      <c r="I255" s="62"/>
      <c r="J255" s="4"/>
      <c r="K255" s="62"/>
      <c r="L255" s="4"/>
      <c r="M255" s="62"/>
      <c r="N255" s="4"/>
      <c r="O255" s="4"/>
    </row>
    <row r="256" spans="2:15" x14ac:dyDescent="0.25">
      <c r="B256" s="43"/>
      <c r="C256" s="4"/>
      <c r="D256" s="4"/>
      <c r="E256" s="4"/>
      <c r="F256" s="17"/>
      <c r="G256" s="62"/>
      <c r="H256" s="4"/>
      <c r="I256" s="62"/>
      <c r="J256" s="4"/>
      <c r="K256" s="62"/>
      <c r="L256" s="4"/>
      <c r="M256" s="62"/>
      <c r="N256" s="4"/>
      <c r="O256" s="4"/>
    </row>
    <row r="257" spans="2:15" x14ac:dyDescent="0.25">
      <c r="B257" s="43"/>
      <c r="C257" s="4"/>
      <c r="D257" s="4"/>
      <c r="E257" s="4"/>
      <c r="F257" s="17"/>
      <c r="G257" s="62"/>
      <c r="H257" s="4"/>
      <c r="I257" s="62"/>
      <c r="J257" s="4"/>
      <c r="K257" s="62"/>
      <c r="L257" s="4"/>
      <c r="M257" s="62"/>
      <c r="N257" s="4"/>
      <c r="O257" s="4"/>
    </row>
    <row r="258" spans="2:15" x14ac:dyDescent="0.25">
      <c r="B258" s="43"/>
      <c r="C258" s="4"/>
      <c r="D258" s="4"/>
      <c r="E258" s="4"/>
      <c r="F258" s="17"/>
      <c r="G258" s="62"/>
      <c r="H258" s="4"/>
      <c r="I258" s="62"/>
      <c r="J258" s="4"/>
      <c r="K258" s="62"/>
      <c r="L258" s="4"/>
      <c r="M258" s="62"/>
      <c r="N258" s="4"/>
      <c r="O258" s="4"/>
    </row>
    <row r="259" spans="2:15" x14ac:dyDescent="0.25">
      <c r="B259" s="43"/>
      <c r="C259" s="4"/>
      <c r="D259" s="4"/>
      <c r="E259" s="4"/>
      <c r="F259" s="17"/>
      <c r="G259" s="62"/>
      <c r="H259" s="4"/>
      <c r="I259" s="62"/>
      <c r="J259" s="4"/>
      <c r="K259" s="62"/>
      <c r="L259" s="4"/>
      <c r="M259" s="62"/>
      <c r="N259" s="4"/>
      <c r="O259" s="4"/>
    </row>
    <row r="260" spans="2:15" x14ac:dyDescent="0.25">
      <c r="B260" s="43"/>
      <c r="C260" s="4"/>
      <c r="D260" s="4"/>
      <c r="E260" s="4"/>
      <c r="F260" s="17"/>
      <c r="G260" s="62"/>
      <c r="H260" s="4"/>
      <c r="I260" s="62"/>
      <c r="J260" s="4"/>
      <c r="K260" s="62"/>
      <c r="L260" s="4"/>
      <c r="M260" s="62"/>
      <c r="N260" s="4"/>
      <c r="O260" s="4"/>
    </row>
    <row r="261" spans="2:15" x14ac:dyDescent="0.25">
      <c r="B261" s="43"/>
      <c r="C261" s="4"/>
      <c r="D261" s="4"/>
      <c r="E261" s="4"/>
      <c r="F261" s="17"/>
      <c r="G261" s="62"/>
      <c r="H261" s="4"/>
      <c r="I261" s="62"/>
      <c r="J261" s="4"/>
      <c r="K261" s="62"/>
      <c r="L261" s="4"/>
      <c r="M261" s="62"/>
      <c r="N261" s="4"/>
      <c r="O261" s="4"/>
    </row>
    <row r="262" spans="2:15" x14ac:dyDescent="0.25">
      <c r="B262" s="43"/>
      <c r="C262" s="4"/>
      <c r="D262" s="4"/>
      <c r="E262" s="4"/>
      <c r="F262" s="17"/>
      <c r="G262" s="62"/>
      <c r="H262" s="4"/>
      <c r="I262" s="62"/>
      <c r="J262" s="4"/>
      <c r="K262" s="62"/>
      <c r="L262" s="4"/>
      <c r="M262" s="62"/>
      <c r="N262" s="4"/>
      <c r="O262" s="4"/>
    </row>
    <row r="263" spans="2:15" x14ac:dyDescent="0.25">
      <c r="B263" s="43"/>
      <c r="C263" s="4"/>
      <c r="D263" s="4"/>
      <c r="E263" s="4"/>
      <c r="F263" s="17"/>
      <c r="G263" s="62"/>
      <c r="H263" s="4"/>
      <c r="I263" s="62"/>
      <c r="J263" s="4"/>
      <c r="K263" s="62"/>
      <c r="L263" s="4"/>
      <c r="M263" s="62"/>
      <c r="N263" s="4"/>
      <c r="O263" s="4"/>
    </row>
    <row r="264" spans="2:15" x14ac:dyDescent="0.25">
      <c r="B264" s="43"/>
      <c r="C264" s="4"/>
      <c r="D264" s="4"/>
      <c r="E264" s="4"/>
      <c r="F264" s="17"/>
      <c r="G264" s="62"/>
      <c r="H264" s="4"/>
      <c r="I264" s="62"/>
      <c r="J264" s="4"/>
      <c r="K264" s="62"/>
      <c r="L264" s="4"/>
      <c r="M264" s="62"/>
      <c r="N264" s="4"/>
      <c r="O264" s="4"/>
    </row>
    <row r="265" spans="2:15" x14ac:dyDescent="0.25">
      <c r="B265" s="43"/>
      <c r="C265" s="4"/>
      <c r="D265" s="4"/>
      <c r="E265" s="4"/>
      <c r="F265" s="17"/>
      <c r="G265" s="62"/>
      <c r="H265" s="4"/>
      <c r="I265" s="62"/>
      <c r="J265" s="4"/>
      <c r="K265" s="62"/>
      <c r="L265" s="4"/>
      <c r="M265" s="62"/>
      <c r="N265" s="4"/>
      <c r="O265" s="4"/>
    </row>
    <row r="266" spans="2:15" x14ac:dyDescent="0.25">
      <c r="B266" s="43"/>
      <c r="C266" s="4"/>
      <c r="D266" s="4"/>
      <c r="E266" s="4"/>
      <c r="F266" s="17"/>
      <c r="G266" s="62"/>
      <c r="H266" s="4"/>
      <c r="I266" s="62"/>
      <c r="J266" s="4"/>
      <c r="K266" s="62"/>
      <c r="L266" s="4"/>
      <c r="M266" s="62"/>
      <c r="N266" s="4"/>
      <c r="O266" s="4"/>
    </row>
    <row r="267" spans="2:15" x14ac:dyDescent="0.25">
      <c r="B267" s="43"/>
      <c r="C267" s="4"/>
      <c r="D267" s="4"/>
      <c r="E267" s="4"/>
      <c r="F267" s="17"/>
      <c r="G267" s="62"/>
      <c r="H267" s="4"/>
      <c r="I267" s="62"/>
      <c r="J267" s="4"/>
      <c r="K267" s="62"/>
      <c r="L267" s="4"/>
      <c r="M267" s="62"/>
      <c r="N267" s="4"/>
      <c r="O267" s="4"/>
    </row>
    <row r="268" spans="2:15" x14ac:dyDescent="0.25">
      <c r="B268" s="43"/>
      <c r="C268" s="4"/>
      <c r="D268" s="4"/>
      <c r="E268" s="4"/>
      <c r="F268" s="17"/>
      <c r="G268" s="62"/>
      <c r="H268" s="4"/>
      <c r="I268" s="62"/>
      <c r="J268" s="4"/>
      <c r="K268" s="62"/>
      <c r="L268" s="4"/>
      <c r="M268" s="62"/>
      <c r="N268" s="4"/>
      <c r="O268" s="4"/>
    </row>
    <row r="269" spans="2:15" x14ac:dyDescent="0.25">
      <c r="B269" s="43"/>
      <c r="C269" s="4"/>
      <c r="D269" s="4"/>
      <c r="E269" s="4"/>
      <c r="F269" s="17"/>
      <c r="G269" s="62"/>
      <c r="H269" s="4"/>
      <c r="I269" s="62"/>
      <c r="J269" s="4"/>
      <c r="K269" s="62"/>
      <c r="L269" s="4"/>
      <c r="M269" s="62"/>
      <c r="N269" s="4"/>
      <c r="O269" s="4"/>
    </row>
    <row r="270" spans="2:15" x14ac:dyDescent="0.25">
      <c r="B270" s="43"/>
      <c r="C270" s="4"/>
      <c r="D270" s="4"/>
      <c r="E270" s="4"/>
      <c r="F270" s="17"/>
      <c r="G270" s="62"/>
      <c r="H270" s="4"/>
      <c r="I270" s="62"/>
      <c r="J270" s="4"/>
      <c r="K270" s="62"/>
      <c r="L270" s="4"/>
      <c r="M270" s="62"/>
      <c r="N270" s="4"/>
      <c r="O270" s="4"/>
    </row>
    <row r="271" spans="2:15" x14ac:dyDescent="0.25">
      <c r="B271" s="43"/>
      <c r="C271" s="4"/>
      <c r="D271" s="4"/>
      <c r="E271" s="4"/>
      <c r="F271" s="17"/>
      <c r="G271" s="62"/>
      <c r="H271" s="4"/>
      <c r="I271" s="62"/>
      <c r="J271" s="4"/>
      <c r="K271" s="62"/>
      <c r="L271" s="4"/>
      <c r="M271" s="62"/>
      <c r="N271" s="4"/>
      <c r="O271" s="4"/>
    </row>
    <row r="272" spans="2:15" x14ac:dyDescent="0.25">
      <c r="B272" s="43"/>
      <c r="C272" s="4"/>
      <c r="D272" s="4"/>
      <c r="E272" s="4"/>
      <c r="F272" s="17"/>
      <c r="G272" s="62"/>
      <c r="H272" s="4"/>
      <c r="I272" s="62"/>
      <c r="J272" s="4"/>
      <c r="K272" s="62"/>
      <c r="L272" s="4"/>
      <c r="M272" s="62"/>
      <c r="N272" s="4"/>
      <c r="O272" s="4"/>
    </row>
    <row r="273" spans="2:15" x14ac:dyDescent="0.25">
      <c r="B273" s="43"/>
      <c r="C273" s="4"/>
      <c r="D273" s="4"/>
      <c r="E273" s="4"/>
      <c r="F273" s="17"/>
      <c r="G273" s="62"/>
      <c r="H273" s="4"/>
      <c r="I273" s="62"/>
      <c r="J273" s="4"/>
      <c r="K273" s="62"/>
      <c r="L273" s="4"/>
      <c r="M273" s="62"/>
      <c r="N273" s="4"/>
      <c r="O273" s="4"/>
    </row>
    <row r="274" spans="2:15" x14ac:dyDescent="0.25">
      <c r="B274" s="43"/>
      <c r="C274" s="4"/>
      <c r="D274" s="4"/>
      <c r="E274" s="4"/>
      <c r="F274" s="17"/>
      <c r="G274" s="62"/>
      <c r="H274" s="4"/>
      <c r="I274" s="62"/>
      <c r="J274" s="4"/>
      <c r="K274" s="62"/>
      <c r="L274" s="4"/>
      <c r="M274" s="62"/>
      <c r="N274" s="4"/>
      <c r="O274" s="4"/>
    </row>
    <row r="275" spans="2:15" x14ac:dyDescent="0.25">
      <c r="B275" s="43"/>
      <c r="C275" s="4"/>
      <c r="D275" s="4"/>
      <c r="E275" s="4"/>
      <c r="F275" s="17"/>
      <c r="G275" s="62"/>
      <c r="H275" s="4"/>
      <c r="I275" s="62"/>
      <c r="J275" s="4"/>
      <c r="K275" s="62"/>
      <c r="L275" s="4"/>
      <c r="M275" s="62"/>
      <c r="N275" s="4"/>
      <c r="O275" s="4"/>
    </row>
    <row r="276" spans="2:15" x14ac:dyDescent="0.25">
      <c r="B276" s="43"/>
      <c r="C276" s="4"/>
      <c r="D276" s="4"/>
      <c r="E276" s="4"/>
      <c r="F276" s="17"/>
      <c r="G276" s="62"/>
      <c r="H276" s="4"/>
      <c r="I276" s="62"/>
      <c r="J276" s="4"/>
      <c r="K276" s="62"/>
      <c r="L276" s="4"/>
      <c r="M276" s="62"/>
      <c r="N276" s="4"/>
      <c r="O276" s="4"/>
    </row>
    <row r="277" spans="2:15" x14ac:dyDescent="0.25">
      <c r="B277" s="43"/>
      <c r="C277" s="4"/>
      <c r="D277" s="4"/>
      <c r="E277" s="4"/>
      <c r="F277" s="17"/>
      <c r="G277" s="62"/>
      <c r="H277" s="4"/>
      <c r="I277" s="62"/>
      <c r="J277" s="4"/>
      <c r="K277" s="62"/>
      <c r="L277" s="4"/>
      <c r="M277" s="62"/>
      <c r="N277" s="4"/>
      <c r="O277" s="4"/>
    </row>
    <row r="278" spans="2:15" x14ac:dyDescent="0.25">
      <c r="B278" s="43"/>
      <c r="C278" s="4"/>
      <c r="D278" s="4"/>
      <c r="E278" s="4"/>
      <c r="F278" s="17"/>
      <c r="G278" s="62"/>
      <c r="H278" s="4"/>
      <c r="I278" s="62"/>
      <c r="J278" s="4"/>
      <c r="K278" s="62"/>
      <c r="L278" s="4"/>
      <c r="M278" s="62"/>
      <c r="N278" s="4"/>
      <c r="O278" s="4"/>
    </row>
    <row r="279" spans="2:15" x14ac:dyDescent="0.25">
      <c r="B279" s="43"/>
      <c r="C279" s="39"/>
      <c r="D279" s="4"/>
      <c r="E279" s="4"/>
      <c r="F279" s="17"/>
      <c r="G279" s="62"/>
      <c r="H279" s="4"/>
      <c r="I279" s="62"/>
      <c r="J279" s="4"/>
      <c r="K279" s="62"/>
      <c r="L279" s="4"/>
      <c r="M279" s="62"/>
      <c r="N279" s="4"/>
      <c r="O279" s="4"/>
    </row>
    <row r="280" spans="2:15" x14ac:dyDescent="0.25">
      <c r="B280" s="43"/>
      <c r="C280" s="4"/>
      <c r="D280" s="4"/>
      <c r="E280" s="4"/>
      <c r="F280" s="17"/>
      <c r="G280" s="62"/>
      <c r="H280" s="4"/>
      <c r="I280" s="62"/>
      <c r="J280" s="4"/>
      <c r="K280" s="62"/>
      <c r="L280" s="4"/>
      <c r="M280" s="62"/>
      <c r="N280" s="4"/>
      <c r="O280" s="4"/>
    </row>
    <row r="281" spans="2:15" x14ac:dyDescent="0.25">
      <c r="B281" s="43"/>
      <c r="C281" s="4"/>
      <c r="D281" s="4"/>
      <c r="E281" s="4"/>
      <c r="F281" s="17"/>
      <c r="G281" s="62"/>
      <c r="H281" s="4"/>
      <c r="I281" s="62"/>
      <c r="J281" s="4"/>
      <c r="K281" s="62"/>
      <c r="L281" s="4"/>
      <c r="M281" s="62"/>
      <c r="N281" s="4"/>
      <c r="O281" s="4"/>
    </row>
    <row r="282" spans="2:15" x14ac:dyDescent="0.25">
      <c r="B282" s="43"/>
      <c r="C282" s="4"/>
      <c r="D282" s="4"/>
      <c r="E282" s="4"/>
      <c r="F282" s="17"/>
      <c r="G282" s="62"/>
      <c r="H282" s="4"/>
      <c r="I282" s="62"/>
      <c r="J282" s="4"/>
      <c r="K282" s="62"/>
      <c r="L282" s="4"/>
      <c r="M282" s="62"/>
      <c r="N282" s="4"/>
      <c r="O282" s="4"/>
    </row>
    <row r="283" spans="2:15" x14ac:dyDescent="0.25">
      <c r="B283" s="43"/>
      <c r="C283" s="4"/>
      <c r="D283" s="4"/>
      <c r="E283" s="4"/>
      <c r="F283" s="17"/>
      <c r="G283" s="62"/>
      <c r="H283" s="4"/>
      <c r="I283" s="62"/>
      <c r="J283" s="4"/>
      <c r="K283" s="62"/>
      <c r="L283" s="4"/>
      <c r="M283" s="62"/>
      <c r="N283" s="4"/>
      <c r="O283" s="4"/>
    </row>
    <row r="284" spans="2:15" x14ac:dyDescent="0.25">
      <c r="B284" s="43"/>
      <c r="C284" s="4"/>
      <c r="D284" s="4"/>
      <c r="E284" s="4"/>
      <c r="F284" s="17"/>
      <c r="G284" s="62"/>
      <c r="H284" s="4"/>
      <c r="I284" s="62"/>
      <c r="J284" s="4"/>
      <c r="K284" s="62"/>
      <c r="L284" s="4"/>
      <c r="M284" s="62"/>
      <c r="N284" s="4"/>
      <c r="O284" s="4"/>
    </row>
    <row r="285" spans="2:15" x14ac:dyDescent="0.25">
      <c r="B285" s="43"/>
      <c r="C285" s="4"/>
      <c r="D285" s="4"/>
      <c r="E285" s="4"/>
      <c r="F285" s="17"/>
      <c r="G285" s="62"/>
      <c r="H285" s="4"/>
      <c r="I285" s="62"/>
      <c r="J285" s="4"/>
      <c r="K285" s="62"/>
      <c r="L285" s="4"/>
      <c r="M285" s="62"/>
      <c r="N285" s="4"/>
      <c r="O285" s="4"/>
    </row>
    <row r="286" spans="2:15" x14ac:dyDescent="0.25">
      <c r="B286" s="43"/>
      <c r="C286" s="4"/>
      <c r="D286" s="4"/>
      <c r="E286" s="4"/>
      <c r="F286" s="17"/>
      <c r="G286" s="62"/>
      <c r="H286" s="4"/>
      <c r="I286" s="62"/>
      <c r="J286" s="4"/>
      <c r="K286" s="62"/>
      <c r="L286" s="4"/>
      <c r="M286" s="62"/>
      <c r="N286" s="4"/>
      <c r="O286" s="4"/>
    </row>
    <row r="287" spans="2:15" x14ac:dyDescent="0.25">
      <c r="B287" s="43"/>
      <c r="C287" s="4"/>
      <c r="D287" s="4"/>
      <c r="E287" s="4"/>
      <c r="F287" s="17"/>
      <c r="G287" s="62"/>
      <c r="H287" s="4"/>
      <c r="I287" s="62"/>
      <c r="J287" s="4"/>
      <c r="K287" s="62"/>
      <c r="L287" s="4"/>
      <c r="M287" s="62"/>
      <c r="N287" s="4"/>
      <c r="O287" s="4"/>
    </row>
    <row r="288" spans="2:15" x14ac:dyDescent="0.25">
      <c r="B288" s="43"/>
      <c r="C288" s="4"/>
      <c r="D288" s="4"/>
      <c r="E288" s="4"/>
      <c r="F288" s="17"/>
      <c r="G288" s="62"/>
      <c r="H288" s="4"/>
      <c r="I288" s="62"/>
      <c r="J288" s="4"/>
      <c r="K288" s="62"/>
      <c r="L288" s="4"/>
      <c r="M288" s="62"/>
      <c r="N288" s="4"/>
      <c r="O288" s="4"/>
    </row>
    <row r="289" spans="2:15" x14ac:dyDescent="0.25">
      <c r="B289" s="43"/>
      <c r="C289" s="4"/>
      <c r="D289" s="4"/>
      <c r="E289" s="4"/>
      <c r="F289" s="17"/>
      <c r="G289" s="62"/>
      <c r="H289" s="4"/>
      <c r="I289" s="62"/>
      <c r="J289" s="4"/>
      <c r="K289" s="62"/>
      <c r="L289" s="4"/>
      <c r="M289" s="62"/>
      <c r="N289" s="4"/>
      <c r="O289" s="4"/>
    </row>
    <row r="290" spans="2:15" x14ac:dyDescent="0.25">
      <c r="B290" s="43"/>
      <c r="C290" s="39"/>
      <c r="D290" s="4"/>
      <c r="E290" s="4"/>
      <c r="F290" s="17"/>
      <c r="G290" s="62"/>
      <c r="H290" s="4"/>
      <c r="I290" s="62"/>
      <c r="J290" s="4"/>
      <c r="K290" s="62"/>
      <c r="L290" s="4"/>
      <c r="M290" s="62"/>
      <c r="N290" s="4"/>
      <c r="O290" s="4"/>
    </row>
    <row r="291" spans="2:15" x14ac:dyDescent="0.25">
      <c r="B291" s="43"/>
      <c r="C291" s="4"/>
      <c r="D291" s="4"/>
      <c r="E291" s="4"/>
      <c r="F291" s="17"/>
      <c r="G291" s="62"/>
      <c r="H291" s="4"/>
      <c r="I291" s="62"/>
      <c r="J291" s="4"/>
      <c r="K291" s="62"/>
      <c r="L291" s="4"/>
      <c r="M291" s="62"/>
      <c r="N291" s="4"/>
      <c r="O291" s="4"/>
    </row>
    <row r="292" spans="2:15" x14ac:dyDescent="0.25">
      <c r="B292" s="43"/>
      <c r="C292" s="39"/>
      <c r="D292" s="4"/>
      <c r="E292" s="4"/>
      <c r="F292" s="17"/>
      <c r="G292" s="62"/>
      <c r="H292" s="4"/>
      <c r="I292" s="62"/>
      <c r="J292" s="4"/>
      <c r="K292" s="62"/>
      <c r="L292" s="4"/>
      <c r="M292" s="62"/>
      <c r="N292" s="4"/>
      <c r="O292" s="4"/>
    </row>
    <row r="293" spans="2:15" x14ac:dyDescent="0.25">
      <c r="B293" s="43"/>
      <c r="C293" s="39"/>
      <c r="D293" s="4"/>
      <c r="E293" s="4"/>
      <c r="F293" s="17"/>
      <c r="G293" s="62"/>
      <c r="H293" s="4"/>
      <c r="I293" s="62"/>
      <c r="J293" s="4"/>
      <c r="K293" s="62"/>
      <c r="L293" s="4"/>
      <c r="M293" s="62"/>
      <c r="N293" s="4"/>
      <c r="O293" s="4"/>
    </row>
    <row r="294" spans="2:15" x14ac:dyDescent="0.25">
      <c r="B294" s="43"/>
      <c r="C294" s="39"/>
      <c r="D294" s="4"/>
      <c r="E294" s="4"/>
      <c r="F294" s="17"/>
      <c r="G294" s="62"/>
      <c r="H294" s="4"/>
      <c r="I294" s="62"/>
      <c r="J294" s="4"/>
      <c r="K294" s="62"/>
      <c r="L294" s="4"/>
      <c r="M294" s="62"/>
      <c r="N294" s="4"/>
      <c r="O294" s="4"/>
    </row>
    <row r="295" spans="2:15" x14ac:dyDescent="0.25">
      <c r="B295" s="43"/>
      <c r="C295" s="4"/>
      <c r="D295" s="4"/>
      <c r="E295" s="4"/>
      <c r="F295" s="17"/>
      <c r="G295" s="62"/>
      <c r="H295" s="4"/>
      <c r="I295" s="62"/>
      <c r="J295" s="4"/>
      <c r="K295" s="62"/>
      <c r="L295" s="4"/>
      <c r="M295" s="62"/>
      <c r="N295" s="4"/>
      <c r="O295" s="4"/>
    </row>
    <row r="296" spans="2:15" x14ac:dyDescent="0.25">
      <c r="B296" s="43"/>
      <c r="C296" s="4"/>
      <c r="D296" s="4"/>
      <c r="E296" s="4"/>
      <c r="F296" s="17"/>
      <c r="G296" s="62"/>
      <c r="H296" s="4"/>
      <c r="I296" s="62"/>
      <c r="J296" s="4"/>
      <c r="K296" s="62"/>
      <c r="L296" s="4"/>
      <c r="M296" s="62"/>
      <c r="N296" s="4"/>
      <c r="O296" s="4"/>
    </row>
    <row r="297" spans="2:15" x14ac:dyDescent="0.25">
      <c r="B297" s="43"/>
      <c r="C297" s="39"/>
      <c r="D297" s="4"/>
      <c r="E297" s="4"/>
      <c r="F297" s="17"/>
      <c r="G297" s="62"/>
      <c r="H297" s="4"/>
      <c r="I297" s="62"/>
      <c r="J297" s="4"/>
      <c r="K297" s="62"/>
      <c r="L297" s="4"/>
      <c r="M297" s="62"/>
      <c r="N297" s="4"/>
      <c r="O297" s="4"/>
    </row>
    <row r="298" spans="2:15" x14ac:dyDescent="0.25">
      <c r="B298" s="43"/>
      <c r="C298" s="4"/>
      <c r="D298" s="4"/>
      <c r="E298" s="4"/>
      <c r="F298" s="17"/>
      <c r="G298" s="62"/>
      <c r="H298" s="4"/>
      <c r="I298" s="62"/>
      <c r="J298" s="4"/>
      <c r="K298" s="62"/>
      <c r="L298" s="4"/>
      <c r="M298" s="62"/>
      <c r="N298" s="4"/>
      <c r="O298" s="4"/>
    </row>
    <row r="299" spans="2:15" x14ac:dyDescent="0.25">
      <c r="B299" s="43"/>
      <c r="C299" s="4"/>
      <c r="D299" s="4"/>
      <c r="E299" s="4"/>
      <c r="F299" s="17"/>
      <c r="G299" s="62"/>
      <c r="H299" s="4"/>
      <c r="I299" s="62"/>
      <c r="J299" s="4"/>
      <c r="K299" s="62"/>
      <c r="L299" s="4"/>
      <c r="M299" s="62"/>
      <c r="N299" s="4"/>
      <c r="O299" s="4"/>
    </row>
    <row r="300" spans="2:15" x14ac:dyDescent="0.25">
      <c r="B300" s="43"/>
      <c r="C300" s="13"/>
      <c r="D300" s="4"/>
      <c r="E300" s="4"/>
      <c r="F300" s="17"/>
      <c r="G300" s="62"/>
      <c r="H300" s="4"/>
      <c r="I300" s="62"/>
      <c r="J300" s="4"/>
      <c r="K300" s="62"/>
      <c r="L300" s="4"/>
      <c r="M300" s="62"/>
      <c r="N300" s="4"/>
      <c r="O300" s="4"/>
    </row>
    <row r="301" spans="2:15" x14ac:dyDescent="0.25">
      <c r="B301" s="43"/>
      <c r="C301" s="13"/>
      <c r="D301" s="4"/>
      <c r="E301" s="4"/>
      <c r="F301" s="17"/>
      <c r="G301" s="62"/>
      <c r="H301" s="4"/>
      <c r="I301" s="62"/>
      <c r="J301" s="4"/>
      <c r="K301" s="62"/>
      <c r="L301" s="4"/>
      <c r="M301" s="62"/>
      <c r="N301" s="4"/>
      <c r="O301" s="4"/>
    </row>
    <row r="302" spans="2:15" x14ac:dyDescent="0.25">
      <c r="B302" s="43"/>
      <c r="C302" s="13"/>
      <c r="D302" s="4"/>
      <c r="E302" s="4"/>
      <c r="F302" s="17"/>
      <c r="G302" s="62"/>
      <c r="H302" s="4"/>
      <c r="I302" s="62"/>
      <c r="J302" s="4"/>
      <c r="K302" s="62"/>
      <c r="L302" s="4"/>
      <c r="M302" s="62"/>
      <c r="N302" s="4"/>
      <c r="O302" s="4"/>
    </row>
    <row r="303" spans="2:15" x14ac:dyDescent="0.25">
      <c r="B303" s="43"/>
      <c r="C303" s="13"/>
      <c r="D303" s="4"/>
      <c r="E303" s="4"/>
      <c r="F303" s="17"/>
      <c r="G303" s="62"/>
      <c r="H303" s="4"/>
      <c r="I303" s="62"/>
      <c r="J303" s="4"/>
      <c r="K303" s="62"/>
      <c r="L303" s="4"/>
      <c r="M303" s="62"/>
      <c r="N303" s="4"/>
      <c r="O303" s="4"/>
    </row>
    <row r="304" spans="2:15" x14ac:dyDescent="0.25">
      <c r="B304" s="43"/>
      <c r="C304" s="4"/>
      <c r="D304" s="4"/>
      <c r="E304" s="4"/>
      <c r="F304" s="17"/>
      <c r="G304" s="62"/>
      <c r="H304" s="4"/>
      <c r="I304" s="62"/>
      <c r="J304" s="4"/>
      <c r="K304" s="62"/>
      <c r="L304" s="4"/>
      <c r="M304" s="62"/>
      <c r="N304" s="4"/>
      <c r="O304" s="4"/>
    </row>
    <row r="305" spans="2:15" x14ac:dyDescent="0.25">
      <c r="B305" s="43"/>
      <c r="C305" s="4"/>
      <c r="D305" s="4"/>
      <c r="E305" s="4"/>
      <c r="F305" s="17"/>
      <c r="G305" s="62"/>
      <c r="H305" s="4"/>
      <c r="I305" s="62"/>
      <c r="J305" s="4"/>
      <c r="K305" s="62"/>
      <c r="L305" s="4"/>
      <c r="M305" s="62"/>
      <c r="N305" s="4"/>
      <c r="O305" s="4"/>
    </row>
    <row r="306" spans="2:15" x14ac:dyDescent="0.25">
      <c r="B306" s="43"/>
      <c r="C306" s="4"/>
      <c r="D306" s="4"/>
      <c r="E306" s="4"/>
      <c r="F306" s="17"/>
      <c r="G306" s="62"/>
      <c r="H306" s="4"/>
      <c r="I306" s="62"/>
      <c r="J306" s="4"/>
      <c r="K306" s="62"/>
      <c r="L306" s="4"/>
      <c r="M306" s="62"/>
      <c r="N306" s="4"/>
      <c r="O306" s="4"/>
    </row>
    <row r="307" spans="2:15" x14ac:dyDescent="0.25">
      <c r="B307" s="43"/>
      <c r="C307" s="4"/>
      <c r="D307" s="4"/>
      <c r="E307" s="4"/>
      <c r="F307" s="17"/>
      <c r="G307" s="62"/>
      <c r="H307" s="4"/>
      <c r="I307" s="62"/>
      <c r="J307" s="4"/>
      <c r="K307" s="62"/>
      <c r="L307" s="4"/>
      <c r="M307" s="62"/>
      <c r="N307" s="4"/>
      <c r="O307" s="4"/>
    </row>
    <row r="308" spans="2:15" x14ac:dyDescent="0.25">
      <c r="B308" s="43"/>
      <c r="C308" s="4"/>
      <c r="D308" s="4"/>
      <c r="E308" s="4"/>
      <c r="F308" s="17"/>
      <c r="G308" s="62"/>
      <c r="H308" s="4"/>
      <c r="I308" s="62"/>
      <c r="J308" s="4"/>
      <c r="K308" s="62"/>
      <c r="L308" s="4"/>
      <c r="M308" s="62"/>
      <c r="N308" s="4"/>
      <c r="O308" s="4"/>
    </row>
    <row r="309" spans="2:15" x14ac:dyDescent="0.25">
      <c r="B309" s="43"/>
      <c r="C309" s="4"/>
      <c r="D309" s="4"/>
      <c r="E309" s="4"/>
      <c r="F309" s="17"/>
      <c r="G309" s="62"/>
      <c r="H309" s="4"/>
      <c r="I309" s="62"/>
      <c r="J309" s="4"/>
      <c r="K309" s="62"/>
      <c r="L309" s="4"/>
      <c r="M309" s="62"/>
      <c r="N309" s="4"/>
      <c r="O309" s="4"/>
    </row>
    <row r="310" spans="2:15" x14ac:dyDescent="0.25">
      <c r="B310" s="43"/>
      <c r="C310" s="4"/>
      <c r="D310" s="4"/>
      <c r="E310" s="4"/>
      <c r="F310" s="17"/>
      <c r="G310" s="62"/>
      <c r="H310" s="4"/>
      <c r="I310" s="62"/>
      <c r="J310" s="4"/>
      <c r="K310" s="62"/>
      <c r="L310" s="4"/>
      <c r="M310" s="62"/>
      <c r="N310" s="4"/>
      <c r="O310" s="4"/>
    </row>
    <row r="311" spans="2:15" x14ac:dyDescent="0.25">
      <c r="B311" s="43"/>
      <c r="C311" s="4"/>
      <c r="D311" s="4"/>
      <c r="E311" s="4"/>
      <c r="F311" s="17"/>
      <c r="G311" s="62"/>
      <c r="H311" s="4"/>
      <c r="I311" s="62"/>
      <c r="J311" s="4"/>
      <c r="K311" s="62"/>
      <c r="L311" s="4"/>
      <c r="M311" s="62"/>
      <c r="N311" s="4"/>
      <c r="O311" s="4"/>
    </row>
    <row r="312" spans="2:15" x14ac:dyDescent="0.25">
      <c r="B312" s="43"/>
      <c r="C312" s="4"/>
      <c r="D312" s="4"/>
      <c r="E312" s="4"/>
      <c r="F312" s="17"/>
      <c r="G312" s="62"/>
      <c r="H312" s="4"/>
      <c r="I312" s="62"/>
      <c r="J312" s="4"/>
      <c r="K312" s="62"/>
      <c r="L312" s="4"/>
      <c r="M312" s="62"/>
      <c r="N312" s="4"/>
      <c r="O312" s="4"/>
    </row>
    <row r="313" spans="2:15" x14ac:dyDescent="0.25">
      <c r="B313" s="43"/>
      <c r="C313" s="44"/>
      <c r="D313" s="4"/>
      <c r="E313" s="4"/>
      <c r="F313" s="17"/>
      <c r="G313" s="62"/>
      <c r="H313" s="4"/>
      <c r="I313" s="62"/>
      <c r="J313" s="4"/>
      <c r="K313" s="62"/>
      <c r="L313" s="4"/>
      <c r="M313" s="62"/>
      <c r="N313" s="4"/>
      <c r="O313" s="4"/>
    </row>
    <row r="314" spans="2:15" x14ac:dyDescent="0.25">
      <c r="B314" s="43"/>
      <c r="C314" s="4"/>
      <c r="D314" s="4"/>
      <c r="E314" s="4"/>
      <c r="F314" s="17"/>
      <c r="G314" s="62"/>
      <c r="H314" s="4"/>
      <c r="I314" s="62"/>
      <c r="J314" s="4"/>
      <c r="K314" s="62"/>
      <c r="L314" s="4"/>
      <c r="M314" s="62"/>
      <c r="N314" s="4"/>
      <c r="O314" s="4"/>
    </row>
    <row r="315" spans="2:15" x14ac:dyDescent="0.25">
      <c r="B315" s="43"/>
      <c r="C315" s="4"/>
      <c r="D315" s="4"/>
      <c r="E315" s="4"/>
      <c r="F315" s="17"/>
      <c r="G315" s="62"/>
      <c r="H315" s="4"/>
      <c r="I315" s="62"/>
      <c r="J315" s="4"/>
      <c r="K315" s="62"/>
      <c r="L315" s="4"/>
      <c r="M315" s="62"/>
      <c r="N315" s="4"/>
      <c r="O315" s="4"/>
    </row>
    <row r="316" spans="2:15" x14ac:dyDescent="0.25">
      <c r="B316" s="43"/>
      <c r="C316" s="4"/>
      <c r="D316" s="4"/>
      <c r="E316" s="4"/>
      <c r="F316" s="17"/>
      <c r="G316" s="62"/>
      <c r="H316" s="4"/>
      <c r="I316" s="62"/>
      <c r="J316" s="4"/>
      <c r="K316" s="62"/>
      <c r="L316" s="4"/>
      <c r="M316" s="62"/>
      <c r="N316" s="4"/>
      <c r="O316" s="4"/>
    </row>
    <row r="317" spans="2:15" x14ac:dyDescent="0.25">
      <c r="B317" s="43"/>
      <c r="C317" s="4"/>
      <c r="D317" s="4"/>
      <c r="E317" s="4"/>
      <c r="F317" s="17"/>
      <c r="G317" s="62"/>
      <c r="H317" s="4"/>
      <c r="I317" s="62"/>
      <c r="J317" s="4"/>
      <c r="K317" s="62"/>
      <c r="L317" s="4"/>
      <c r="M317" s="62"/>
      <c r="N317" s="4"/>
      <c r="O317" s="4"/>
    </row>
    <row r="318" spans="2:15" x14ac:dyDescent="0.25">
      <c r="B318" s="43"/>
      <c r="C318" s="4"/>
      <c r="D318" s="4"/>
      <c r="E318" s="4"/>
      <c r="F318" s="17"/>
      <c r="G318" s="62"/>
      <c r="H318" s="4"/>
      <c r="I318" s="62"/>
      <c r="J318" s="4"/>
      <c r="K318" s="62"/>
      <c r="L318" s="4"/>
      <c r="M318" s="62"/>
      <c r="N318" s="4"/>
      <c r="O318" s="4"/>
    </row>
    <row r="319" spans="2:15" x14ac:dyDescent="0.25">
      <c r="B319" s="43"/>
      <c r="C319" s="4"/>
      <c r="D319" s="4"/>
      <c r="E319" s="4"/>
      <c r="F319" s="17"/>
      <c r="G319" s="62"/>
      <c r="H319" s="4"/>
      <c r="I319" s="62"/>
      <c r="J319" s="4"/>
      <c r="K319" s="62"/>
      <c r="L319" s="4"/>
      <c r="M319" s="62"/>
      <c r="N319" s="4"/>
      <c r="O319" s="4"/>
    </row>
    <row r="320" spans="2:15" x14ac:dyDescent="0.25">
      <c r="B320" s="43"/>
      <c r="C320" s="4"/>
      <c r="D320" s="4"/>
      <c r="E320" s="4"/>
      <c r="F320" s="17"/>
      <c r="G320" s="62"/>
      <c r="H320" s="4"/>
      <c r="I320" s="62"/>
      <c r="J320" s="4"/>
      <c r="K320" s="62"/>
      <c r="L320" s="4"/>
      <c r="M320" s="62"/>
      <c r="N320" s="4"/>
      <c r="O320" s="4"/>
    </row>
    <row r="321" spans="2:15" x14ac:dyDescent="0.25">
      <c r="B321" s="43"/>
      <c r="C321" s="4"/>
      <c r="D321" s="4"/>
      <c r="E321" s="4"/>
      <c r="F321" s="17"/>
      <c r="G321" s="62"/>
      <c r="H321" s="4"/>
      <c r="I321" s="62"/>
      <c r="J321" s="4"/>
      <c r="K321" s="62"/>
      <c r="L321" s="4"/>
      <c r="M321" s="62"/>
      <c r="N321" s="4"/>
      <c r="O321" s="4"/>
    </row>
    <row r="322" spans="2:15" x14ac:dyDescent="0.25">
      <c r="B322" s="43"/>
      <c r="C322" s="13"/>
      <c r="D322" s="4"/>
      <c r="E322" s="4"/>
      <c r="F322" s="17"/>
      <c r="G322" s="62"/>
      <c r="H322" s="4"/>
      <c r="I322" s="62"/>
      <c r="J322" s="4"/>
      <c r="K322" s="62"/>
      <c r="L322" s="4"/>
      <c r="M322" s="62"/>
      <c r="N322" s="4"/>
      <c r="O322" s="4"/>
    </row>
    <row r="323" spans="2:15" x14ac:dyDescent="0.25">
      <c r="B323" s="43"/>
      <c r="C323" s="39"/>
      <c r="D323" s="4"/>
      <c r="E323" s="4"/>
      <c r="F323" s="17"/>
      <c r="G323" s="62"/>
      <c r="H323" s="4"/>
      <c r="I323" s="62"/>
      <c r="J323" s="4"/>
      <c r="K323" s="62"/>
      <c r="L323" s="4"/>
      <c r="M323" s="62"/>
      <c r="N323" s="4"/>
      <c r="O323" s="4"/>
    </row>
    <row r="324" spans="2:15" x14ac:dyDescent="0.25">
      <c r="B324" s="43"/>
      <c r="C324" s="39"/>
      <c r="D324" s="4"/>
      <c r="E324" s="4"/>
      <c r="F324" s="17"/>
      <c r="G324" s="62"/>
      <c r="H324" s="4"/>
      <c r="I324" s="62"/>
      <c r="J324" s="4"/>
      <c r="K324" s="62"/>
      <c r="L324" s="4"/>
      <c r="M324" s="62"/>
      <c r="N324" s="4"/>
      <c r="O324" s="4"/>
    </row>
    <row r="325" spans="2:15" x14ac:dyDescent="0.25">
      <c r="B325" s="43"/>
      <c r="C325" s="39"/>
      <c r="D325" s="4"/>
      <c r="E325" s="4"/>
      <c r="F325" s="17"/>
      <c r="G325" s="62"/>
      <c r="H325" s="4"/>
      <c r="I325" s="62"/>
      <c r="J325" s="4"/>
      <c r="K325" s="62"/>
      <c r="L325" s="4"/>
      <c r="M325" s="62"/>
      <c r="N325" s="4"/>
      <c r="O325" s="4"/>
    </row>
    <row r="326" spans="2:15" x14ac:dyDescent="0.25">
      <c r="B326" s="43"/>
      <c r="C326" s="44"/>
      <c r="D326" s="4"/>
      <c r="E326" s="4"/>
      <c r="F326" s="17"/>
      <c r="G326" s="62"/>
      <c r="H326" s="4"/>
      <c r="I326" s="62"/>
      <c r="J326" s="4"/>
      <c r="K326" s="62"/>
      <c r="L326" s="4"/>
      <c r="M326" s="62"/>
      <c r="N326" s="4"/>
      <c r="O326" s="4"/>
    </row>
    <row r="327" spans="2:15" x14ac:dyDescent="0.25">
      <c r="B327" s="43"/>
      <c r="C327" s="44"/>
      <c r="D327" s="4"/>
      <c r="E327" s="4"/>
      <c r="F327" s="17"/>
      <c r="G327" s="62"/>
      <c r="H327" s="4"/>
      <c r="I327" s="62"/>
      <c r="J327" s="4"/>
      <c r="K327" s="62"/>
      <c r="L327" s="4"/>
      <c r="M327" s="62"/>
      <c r="N327" s="4"/>
      <c r="O327" s="4"/>
    </row>
    <row r="328" spans="2:15" x14ac:dyDescent="0.25">
      <c r="B328" s="43"/>
      <c r="C328" s="4"/>
      <c r="D328" s="4"/>
      <c r="E328" s="4"/>
      <c r="F328" s="17"/>
      <c r="G328" s="62"/>
      <c r="H328" s="4"/>
      <c r="I328" s="62"/>
      <c r="J328" s="4"/>
      <c r="K328" s="62"/>
      <c r="L328" s="4"/>
      <c r="M328" s="62"/>
      <c r="N328" s="4"/>
      <c r="O328" s="4"/>
    </row>
    <row r="329" spans="2:15" x14ac:dyDescent="0.25">
      <c r="B329" s="43"/>
      <c r="C329" s="4"/>
      <c r="D329" s="4"/>
      <c r="E329" s="4"/>
      <c r="F329" s="17"/>
      <c r="G329" s="62"/>
      <c r="H329" s="4"/>
      <c r="I329" s="62"/>
      <c r="J329" s="4"/>
      <c r="K329" s="62"/>
      <c r="L329" s="4"/>
      <c r="M329" s="62"/>
      <c r="N329" s="4"/>
      <c r="O329" s="4"/>
    </row>
    <row r="330" spans="2:15" x14ac:dyDescent="0.25">
      <c r="B330" s="43"/>
      <c r="C330" s="44"/>
      <c r="D330" s="4"/>
      <c r="E330" s="4"/>
      <c r="F330" s="17"/>
      <c r="G330" s="62"/>
      <c r="H330" s="4"/>
      <c r="I330" s="62"/>
      <c r="J330" s="4"/>
      <c r="K330" s="62"/>
      <c r="L330" s="4"/>
      <c r="M330" s="62"/>
      <c r="N330" s="4"/>
      <c r="O330" s="4"/>
    </row>
    <row r="331" spans="2:15" x14ac:dyDescent="0.25">
      <c r="B331" s="43"/>
      <c r="C331" s="44"/>
      <c r="D331" s="4"/>
      <c r="E331" s="4"/>
      <c r="F331" s="17"/>
      <c r="G331" s="62"/>
      <c r="H331" s="4"/>
      <c r="I331" s="62"/>
      <c r="J331" s="4"/>
      <c r="K331" s="62"/>
      <c r="L331" s="4"/>
      <c r="M331" s="62"/>
      <c r="N331" s="4"/>
      <c r="O331" s="4"/>
    </row>
    <row r="332" spans="2:15" x14ac:dyDescent="0.25">
      <c r="B332" s="43"/>
      <c r="C332" s="4"/>
      <c r="D332" s="70"/>
      <c r="E332" s="70"/>
      <c r="F332" s="17"/>
      <c r="G332" s="62"/>
      <c r="H332" s="4"/>
      <c r="I332" s="62"/>
      <c r="J332" s="4"/>
      <c r="K332" s="62"/>
      <c r="L332" s="4"/>
      <c r="M332" s="62"/>
      <c r="N332" s="4"/>
      <c r="O332" s="4"/>
    </row>
    <row r="333" spans="2:15" x14ac:dyDescent="0.25">
      <c r="B333" s="43"/>
      <c r="C333" s="4"/>
      <c r="D333" s="4"/>
      <c r="E333" s="4"/>
      <c r="F333" s="17"/>
      <c r="G333" s="62"/>
      <c r="H333" s="4"/>
      <c r="I333" s="62"/>
      <c r="J333" s="4"/>
      <c r="K333" s="62"/>
      <c r="L333" s="4"/>
      <c r="M333" s="62"/>
      <c r="N333" s="4"/>
      <c r="O333" s="4"/>
    </row>
    <row r="334" spans="2:15" x14ac:dyDescent="0.25">
      <c r="B334" s="43"/>
      <c r="C334" s="4"/>
      <c r="D334" s="4"/>
      <c r="E334" s="4"/>
      <c r="F334" s="17"/>
      <c r="G334" s="62"/>
      <c r="H334" s="4"/>
      <c r="I334" s="62"/>
      <c r="J334" s="4"/>
      <c r="K334" s="62"/>
      <c r="L334" s="4"/>
      <c r="M334" s="62"/>
      <c r="N334" s="4"/>
      <c r="O334" s="4"/>
    </row>
    <row r="335" spans="2:15" x14ac:dyDescent="0.25">
      <c r="B335" s="43"/>
      <c r="C335" s="4"/>
      <c r="D335" s="4"/>
      <c r="E335" s="4"/>
      <c r="F335" s="17"/>
      <c r="G335" s="62"/>
      <c r="H335" s="4"/>
      <c r="I335" s="62"/>
      <c r="J335" s="4"/>
      <c r="K335" s="62"/>
      <c r="L335" s="4"/>
      <c r="M335" s="62"/>
      <c r="N335" s="4"/>
      <c r="O335" s="4"/>
    </row>
    <row r="336" spans="2:15" x14ac:dyDescent="0.25">
      <c r="B336" s="43"/>
      <c r="C336" s="4"/>
      <c r="D336" s="4"/>
      <c r="E336" s="4"/>
      <c r="F336" s="17"/>
      <c r="G336" s="62"/>
      <c r="H336" s="4"/>
      <c r="I336" s="62"/>
      <c r="J336" s="4"/>
      <c r="K336" s="62"/>
      <c r="L336" s="4"/>
      <c r="M336" s="62"/>
      <c r="N336" s="4"/>
      <c r="O336" s="4"/>
    </row>
    <row r="337" spans="2:15" x14ac:dyDescent="0.25">
      <c r="B337" s="43"/>
      <c r="C337" s="4"/>
      <c r="D337" s="4"/>
      <c r="E337" s="4"/>
      <c r="F337" s="17"/>
      <c r="G337" s="62"/>
      <c r="H337" s="4"/>
      <c r="I337" s="62"/>
      <c r="J337" s="4"/>
      <c r="K337" s="62"/>
      <c r="L337" s="4"/>
      <c r="M337" s="62"/>
      <c r="N337" s="4"/>
      <c r="O337" s="4"/>
    </row>
    <row r="338" spans="2:15" x14ac:dyDescent="0.25">
      <c r="B338" s="43"/>
      <c r="C338" s="4"/>
      <c r="D338" s="4"/>
      <c r="E338" s="4"/>
      <c r="F338" s="17"/>
      <c r="G338" s="62"/>
      <c r="H338" s="4"/>
      <c r="I338" s="62"/>
      <c r="J338" s="4"/>
      <c r="K338" s="62"/>
      <c r="L338" s="4"/>
      <c r="M338" s="62"/>
      <c r="N338" s="4"/>
      <c r="O338" s="4"/>
    </row>
    <row r="339" spans="2:15" x14ac:dyDescent="0.25">
      <c r="B339" s="43"/>
      <c r="C339" s="4"/>
      <c r="D339" s="4"/>
      <c r="E339" s="4"/>
      <c r="F339" s="17"/>
      <c r="G339" s="62"/>
      <c r="H339" s="4"/>
      <c r="I339" s="62"/>
      <c r="J339" s="4"/>
      <c r="K339" s="62"/>
      <c r="L339" s="4"/>
      <c r="M339" s="62"/>
      <c r="N339" s="4"/>
      <c r="O339" s="4"/>
    </row>
    <row r="340" spans="2:15" x14ac:dyDescent="0.25">
      <c r="B340" s="43"/>
      <c r="C340" s="39"/>
      <c r="D340" s="4"/>
      <c r="E340" s="4"/>
      <c r="F340" s="17"/>
      <c r="G340" s="62"/>
      <c r="H340" s="4"/>
      <c r="I340" s="62"/>
      <c r="J340" s="4"/>
      <c r="K340" s="62"/>
      <c r="L340" s="4"/>
      <c r="M340" s="62"/>
      <c r="N340" s="4"/>
      <c r="O340" s="4"/>
    </row>
    <row r="341" spans="2:15" x14ac:dyDescent="0.25">
      <c r="B341" s="43"/>
      <c r="C341" s="39"/>
      <c r="D341" s="4"/>
      <c r="E341" s="4"/>
      <c r="F341" s="17"/>
      <c r="G341" s="62"/>
      <c r="H341" s="4"/>
      <c r="I341" s="62"/>
      <c r="J341" s="4"/>
      <c r="K341" s="62"/>
      <c r="L341" s="4"/>
      <c r="M341" s="62"/>
      <c r="N341" s="4"/>
      <c r="O341" s="4"/>
    </row>
    <row r="342" spans="2:15" x14ac:dyDescent="0.25">
      <c r="B342" s="43"/>
      <c r="C342" s="39"/>
      <c r="D342" s="4"/>
      <c r="E342" s="4"/>
      <c r="F342" s="17"/>
      <c r="G342" s="62"/>
      <c r="H342" s="4"/>
      <c r="I342" s="62"/>
      <c r="J342" s="4"/>
      <c r="K342" s="62"/>
      <c r="L342" s="4"/>
      <c r="M342" s="62"/>
      <c r="N342" s="4"/>
      <c r="O342" s="4"/>
    </row>
    <row r="343" spans="2:15" x14ac:dyDescent="0.25">
      <c r="B343" s="43"/>
      <c r="C343" s="4"/>
      <c r="D343" s="4"/>
      <c r="E343" s="4"/>
      <c r="F343" s="15"/>
      <c r="G343" s="62"/>
      <c r="H343" s="4"/>
      <c r="I343" s="62"/>
      <c r="J343" s="4"/>
      <c r="K343" s="62"/>
      <c r="L343" s="4"/>
      <c r="M343" s="62"/>
      <c r="N343" s="4"/>
      <c r="O343" s="4"/>
    </row>
    <row r="344" spans="2:15" x14ac:dyDescent="0.25">
      <c r="B344" s="43"/>
      <c r="C344" s="4"/>
      <c r="D344" s="4"/>
      <c r="E344" s="4"/>
      <c r="F344" s="15"/>
      <c r="G344" s="62"/>
      <c r="H344" s="4"/>
      <c r="I344" s="62"/>
      <c r="J344" s="4"/>
      <c r="K344" s="62"/>
      <c r="L344" s="4"/>
      <c r="M344" s="62"/>
      <c r="N344" s="4"/>
      <c r="O344" s="4"/>
    </row>
    <row r="345" spans="2:15" x14ac:dyDescent="0.25">
      <c r="B345" s="43"/>
      <c r="C345" s="4"/>
      <c r="D345" s="4"/>
      <c r="E345" s="4"/>
      <c r="F345" s="15"/>
      <c r="G345" s="62"/>
      <c r="H345" s="4"/>
      <c r="I345" s="62"/>
      <c r="J345" s="4"/>
      <c r="K345" s="62"/>
      <c r="L345" s="4"/>
      <c r="M345" s="62"/>
      <c r="N345" s="4"/>
      <c r="O345" s="4"/>
    </row>
    <row r="346" spans="2:15" x14ac:dyDescent="0.25">
      <c r="B346" s="43"/>
      <c r="C346" s="4"/>
      <c r="D346" s="4"/>
      <c r="E346" s="4"/>
      <c r="F346" s="17"/>
      <c r="G346" s="62"/>
      <c r="H346" s="4"/>
      <c r="I346" s="62"/>
      <c r="J346" s="4"/>
      <c r="K346" s="62"/>
      <c r="L346" s="4"/>
      <c r="M346" s="62"/>
      <c r="N346" s="4"/>
      <c r="O346" s="4"/>
    </row>
    <row r="347" spans="2:15" x14ac:dyDescent="0.25">
      <c r="B347" s="43"/>
      <c r="C347" s="4"/>
      <c r="D347" s="4"/>
      <c r="E347" s="4"/>
      <c r="F347" s="17"/>
      <c r="G347" s="62"/>
      <c r="H347" s="4"/>
      <c r="I347" s="62"/>
      <c r="J347" s="4"/>
      <c r="K347" s="62"/>
      <c r="L347" s="4"/>
      <c r="M347" s="62"/>
      <c r="N347" s="4"/>
      <c r="O347" s="4"/>
    </row>
    <row r="348" spans="2:15" x14ac:dyDescent="0.25">
      <c r="B348" s="43"/>
      <c r="C348" s="4"/>
      <c r="D348" s="4"/>
      <c r="E348" s="4"/>
      <c r="F348" s="17"/>
      <c r="G348" s="62"/>
      <c r="H348" s="4"/>
      <c r="I348" s="62"/>
      <c r="J348" s="4"/>
      <c r="K348" s="62"/>
      <c r="L348" s="4"/>
      <c r="M348" s="62"/>
      <c r="N348" s="4"/>
      <c r="O348" s="4"/>
    </row>
    <row r="349" spans="2:15" x14ac:dyDescent="0.25">
      <c r="B349" s="43"/>
      <c r="C349" s="4"/>
      <c r="D349" s="4"/>
      <c r="E349" s="4"/>
      <c r="F349" s="17"/>
      <c r="G349" s="62"/>
      <c r="H349" s="4"/>
      <c r="I349" s="62"/>
      <c r="J349" s="4"/>
      <c r="K349" s="62"/>
      <c r="L349" s="4"/>
      <c r="M349" s="62"/>
      <c r="N349" s="4"/>
      <c r="O349" s="4"/>
    </row>
    <row r="350" spans="2:15" x14ac:dyDescent="0.25">
      <c r="B350" s="43"/>
      <c r="C350" s="4"/>
      <c r="D350" s="4"/>
      <c r="E350" s="4"/>
      <c r="F350" s="17"/>
      <c r="G350" s="62"/>
      <c r="H350" s="4"/>
      <c r="I350" s="62"/>
      <c r="J350" s="4"/>
      <c r="K350" s="62"/>
      <c r="L350" s="4"/>
      <c r="M350" s="62"/>
      <c r="N350" s="4"/>
      <c r="O350" s="4"/>
    </row>
    <row r="351" spans="2:15" x14ac:dyDescent="0.25">
      <c r="B351" s="43"/>
      <c r="C351" s="4"/>
      <c r="D351" s="4"/>
      <c r="E351" s="4"/>
      <c r="F351" s="17"/>
      <c r="G351" s="62"/>
      <c r="H351" s="4"/>
      <c r="I351" s="62"/>
      <c r="J351" s="4"/>
      <c r="K351" s="62"/>
      <c r="L351" s="4"/>
      <c r="M351" s="62"/>
      <c r="N351" s="4"/>
      <c r="O351" s="4"/>
    </row>
    <row r="352" spans="2:15" x14ac:dyDescent="0.25">
      <c r="B352" s="43"/>
      <c r="C352" s="4"/>
      <c r="D352" s="4"/>
      <c r="E352" s="4"/>
      <c r="F352" s="17"/>
      <c r="G352" s="62"/>
      <c r="H352" s="17"/>
      <c r="I352" s="62"/>
      <c r="J352" s="4"/>
      <c r="K352" s="62"/>
      <c r="L352" s="4"/>
      <c r="M352" s="62"/>
      <c r="N352" s="4"/>
      <c r="O352" s="4"/>
    </row>
    <row r="353" spans="2:15" x14ac:dyDescent="0.25">
      <c r="B353" s="43"/>
      <c r="C353" s="4"/>
      <c r="D353" s="70"/>
      <c r="E353" s="70"/>
      <c r="F353" s="17"/>
      <c r="G353" s="62"/>
      <c r="H353" s="4"/>
      <c r="I353" s="62"/>
      <c r="J353" s="4"/>
      <c r="K353" s="62"/>
      <c r="L353" s="4"/>
      <c r="M353" s="62"/>
      <c r="N353" s="4"/>
      <c r="O353" s="4"/>
    </row>
    <row r="354" spans="2:15" x14ac:dyDescent="0.25">
      <c r="B354" s="43"/>
      <c r="C354" s="4"/>
      <c r="D354" s="70"/>
      <c r="E354" s="70"/>
      <c r="F354" s="17"/>
      <c r="G354" s="62"/>
      <c r="H354" s="4"/>
      <c r="I354" s="62"/>
      <c r="J354" s="4"/>
      <c r="K354" s="62"/>
      <c r="L354" s="4"/>
      <c r="M354" s="62"/>
      <c r="N354" s="4"/>
      <c r="O354" s="4"/>
    </row>
    <row r="355" spans="2:15" x14ac:dyDescent="0.25">
      <c r="B355" s="43"/>
      <c r="C355" s="4"/>
      <c r="D355" s="4"/>
      <c r="E355" s="4"/>
      <c r="F355" s="17"/>
      <c r="G355" s="62"/>
      <c r="H355" s="4"/>
      <c r="I355" s="62"/>
      <c r="J355" s="4"/>
      <c r="K355" s="62"/>
      <c r="L355" s="4"/>
      <c r="M355" s="62"/>
      <c r="N355" s="4"/>
      <c r="O355" s="4"/>
    </row>
    <row r="356" spans="2:15" x14ac:dyDescent="0.25">
      <c r="B356" s="43"/>
      <c r="C356" s="4"/>
      <c r="D356" s="4"/>
      <c r="E356" s="4"/>
      <c r="F356" s="17"/>
      <c r="G356" s="62"/>
      <c r="H356" s="4"/>
      <c r="I356" s="62"/>
      <c r="J356" s="4"/>
      <c r="K356" s="62"/>
      <c r="L356" s="4"/>
      <c r="M356" s="62"/>
      <c r="N356" s="4"/>
      <c r="O356" s="4"/>
    </row>
    <row r="357" spans="2:15" x14ac:dyDescent="0.25">
      <c r="B357" s="43"/>
      <c r="C357" s="4"/>
      <c r="D357" s="4"/>
      <c r="E357" s="4"/>
      <c r="F357" s="17"/>
      <c r="G357" s="62"/>
      <c r="H357" s="4"/>
      <c r="I357" s="62"/>
      <c r="J357" s="4"/>
      <c r="K357" s="62"/>
      <c r="L357" s="4"/>
      <c r="M357" s="62"/>
      <c r="N357" s="4"/>
      <c r="O357" s="4"/>
    </row>
    <row r="358" spans="2:15" x14ac:dyDescent="0.25">
      <c r="B358" s="43"/>
      <c r="C358" s="4"/>
      <c r="D358" s="70"/>
      <c r="E358" s="70"/>
      <c r="F358" s="17"/>
      <c r="G358" s="62"/>
      <c r="H358" s="4"/>
      <c r="I358" s="62"/>
      <c r="J358" s="4"/>
      <c r="K358" s="62"/>
      <c r="L358" s="4"/>
      <c r="M358" s="62"/>
      <c r="N358" s="4"/>
      <c r="O358" s="4"/>
    </row>
    <row r="359" spans="2:15" x14ac:dyDescent="0.25">
      <c r="B359" s="43"/>
      <c r="C359" s="39"/>
      <c r="D359" s="4"/>
      <c r="E359" s="4"/>
      <c r="F359" s="17"/>
      <c r="G359" s="62"/>
      <c r="H359" s="4"/>
      <c r="I359" s="62"/>
      <c r="J359" s="4"/>
      <c r="K359" s="62"/>
      <c r="L359" s="4"/>
      <c r="M359" s="62"/>
      <c r="N359" s="4"/>
      <c r="O359" s="4"/>
    </row>
    <row r="360" spans="2:15" x14ac:dyDescent="0.25">
      <c r="B360" s="43"/>
      <c r="C360" s="39"/>
      <c r="D360" s="4"/>
      <c r="E360" s="4"/>
      <c r="F360" s="17"/>
      <c r="G360" s="62"/>
      <c r="H360" s="4"/>
      <c r="I360" s="62"/>
      <c r="J360" s="4"/>
      <c r="K360" s="62"/>
      <c r="L360" s="4"/>
      <c r="M360" s="62"/>
      <c r="N360" s="4"/>
      <c r="O360" s="4"/>
    </row>
    <row r="361" spans="2:15" x14ac:dyDescent="0.25">
      <c r="B361" s="43"/>
      <c r="C361" s="39"/>
      <c r="D361" s="4"/>
      <c r="E361" s="4"/>
      <c r="F361" s="17"/>
      <c r="G361" s="62"/>
      <c r="H361" s="4"/>
      <c r="I361" s="62"/>
      <c r="J361" s="4"/>
      <c r="K361" s="62"/>
      <c r="L361" s="4"/>
      <c r="M361" s="62"/>
      <c r="N361" s="4"/>
      <c r="O361" s="4"/>
    </row>
    <row r="362" spans="2:15" x14ac:dyDescent="0.25">
      <c r="B362" s="43"/>
      <c r="C362" s="39"/>
      <c r="D362" s="4"/>
      <c r="E362" s="4"/>
      <c r="F362" s="17"/>
      <c r="G362" s="62"/>
      <c r="H362" s="4"/>
      <c r="I362" s="62"/>
      <c r="J362" s="4"/>
      <c r="K362" s="62"/>
      <c r="L362" s="4"/>
      <c r="M362" s="62"/>
      <c r="N362" s="4"/>
      <c r="O362" s="4"/>
    </row>
    <row r="363" spans="2:15" x14ac:dyDescent="0.25">
      <c r="B363" s="43"/>
      <c r="C363" s="39"/>
      <c r="D363" s="4"/>
      <c r="E363" s="4"/>
      <c r="F363" s="17"/>
      <c r="G363" s="62"/>
      <c r="H363" s="4"/>
      <c r="I363" s="62"/>
      <c r="J363" s="4"/>
      <c r="K363" s="62"/>
      <c r="L363" s="4"/>
      <c r="M363" s="62"/>
      <c r="N363" s="4"/>
      <c r="O363" s="4"/>
    </row>
    <row r="364" spans="2:15" x14ac:dyDescent="0.25">
      <c r="B364" s="43"/>
      <c r="C364" s="44"/>
      <c r="D364" s="4"/>
      <c r="E364" s="4"/>
      <c r="F364" s="17"/>
      <c r="G364" s="62"/>
      <c r="H364" s="4"/>
      <c r="I364" s="62"/>
      <c r="J364" s="4"/>
      <c r="K364" s="62"/>
      <c r="L364" s="4"/>
      <c r="M364" s="62"/>
      <c r="N364" s="4"/>
      <c r="O364" s="4"/>
    </row>
    <row r="365" spans="2:15" x14ac:dyDescent="0.25">
      <c r="B365" s="43"/>
      <c r="C365" s="39"/>
      <c r="D365" s="4"/>
      <c r="E365" s="4"/>
      <c r="F365" s="17"/>
      <c r="G365" s="62"/>
      <c r="H365" s="4"/>
      <c r="I365" s="62"/>
      <c r="J365" s="4"/>
      <c r="K365" s="62"/>
      <c r="L365" s="4"/>
      <c r="M365" s="62"/>
      <c r="N365" s="4"/>
      <c r="O365" s="4"/>
    </row>
    <row r="366" spans="2:15" x14ac:dyDescent="0.25">
      <c r="B366" s="43"/>
      <c r="C366" s="39"/>
      <c r="D366" s="4"/>
      <c r="E366" s="4"/>
      <c r="F366" s="17"/>
      <c r="G366" s="62"/>
      <c r="H366" s="4"/>
      <c r="I366" s="62"/>
      <c r="J366" s="4"/>
      <c r="K366" s="62"/>
      <c r="L366" s="4"/>
      <c r="M366" s="62"/>
      <c r="N366" s="4"/>
      <c r="O366" s="4"/>
    </row>
    <row r="367" spans="2:15" x14ac:dyDescent="0.25">
      <c r="B367" s="43"/>
      <c r="C367" s="39"/>
      <c r="D367" s="4"/>
      <c r="E367" s="4"/>
      <c r="F367" s="17"/>
      <c r="G367" s="62"/>
      <c r="H367" s="4"/>
      <c r="I367" s="62"/>
      <c r="J367" s="4"/>
      <c r="K367" s="62"/>
      <c r="L367" s="4"/>
      <c r="M367" s="62"/>
      <c r="N367" s="4"/>
      <c r="O367" s="4"/>
    </row>
    <row r="368" spans="2:15" x14ac:dyDescent="0.25">
      <c r="B368" s="43"/>
      <c r="C368" s="39"/>
      <c r="D368" s="4"/>
      <c r="E368" s="4"/>
      <c r="F368" s="17"/>
      <c r="G368" s="62"/>
      <c r="H368" s="4"/>
      <c r="I368" s="62"/>
      <c r="J368" s="4"/>
      <c r="K368" s="62"/>
      <c r="L368" s="4"/>
      <c r="M368" s="62"/>
      <c r="N368" s="4"/>
      <c r="O368" s="4"/>
    </row>
    <row r="369" spans="2:15" x14ac:dyDescent="0.25">
      <c r="B369" s="43"/>
      <c r="C369" s="39"/>
      <c r="D369" s="4"/>
      <c r="E369" s="4"/>
      <c r="F369" s="17"/>
      <c r="G369" s="62"/>
      <c r="H369" s="4"/>
      <c r="I369" s="62"/>
      <c r="J369" s="4"/>
      <c r="K369" s="62"/>
      <c r="L369" s="4"/>
      <c r="M369" s="62"/>
      <c r="N369" s="4"/>
      <c r="O369" s="4"/>
    </row>
    <row r="370" spans="2:15" x14ac:dyDescent="0.25">
      <c r="B370" s="43"/>
      <c r="C370" s="4"/>
      <c r="D370" s="70"/>
      <c r="E370" s="70"/>
      <c r="F370" s="8"/>
      <c r="G370" s="62"/>
      <c r="H370" s="4"/>
      <c r="I370" s="62"/>
      <c r="J370" s="4"/>
      <c r="K370" s="62"/>
      <c r="L370" s="4"/>
      <c r="M370" s="62"/>
      <c r="N370" s="4"/>
      <c r="O370" s="4"/>
    </row>
    <row r="371" spans="2:15" x14ac:dyDescent="0.25">
      <c r="B371" s="43"/>
      <c r="C371" s="4"/>
      <c r="D371" s="4"/>
      <c r="E371" s="4"/>
      <c r="F371" s="8"/>
      <c r="G371" s="62"/>
      <c r="H371" s="4"/>
      <c r="I371" s="62"/>
      <c r="J371" s="4"/>
      <c r="K371" s="62"/>
      <c r="L371" s="4"/>
      <c r="M371" s="62"/>
      <c r="N371" s="4"/>
      <c r="O371" s="4"/>
    </row>
    <row r="372" spans="2:15" x14ac:dyDescent="0.25">
      <c r="B372" s="43"/>
      <c r="C372" s="4"/>
      <c r="D372" s="70"/>
      <c r="E372" s="70"/>
      <c r="F372" s="8"/>
      <c r="G372" s="62"/>
      <c r="H372" s="71"/>
      <c r="I372" s="63"/>
      <c r="J372" s="72"/>
      <c r="K372" s="56"/>
      <c r="L372" s="4"/>
      <c r="M372" s="62"/>
      <c r="N372" s="4"/>
      <c r="O372" s="4"/>
    </row>
    <row r="373" spans="2:15" x14ac:dyDescent="0.25">
      <c r="B373" s="43"/>
      <c r="C373" s="4"/>
      <c r="D373" s="70"/>
      <c r="E373" s="70"/>
      <c r="F373" s="8"/>
      <c r="G373" s="62"/>
      <c r="H373" s="41"/>
      <c r="I373" s="62"/>
      <c r="J373" s="4"/>
      <c r="K373" s="68"/>
      <c r="L373" s="4"/>
      <c r="M373" s="62"/>
      <c r="N373" s="4"/>
      <c r="O373" s="4"/>
    </row>
    <row r="374" spans="2:15" x14ac:dyDescent="0.25">
      <c r="B374" s="43"/>
      <c r="C374" s="4"/>
      <c r="D374" s="4"/>
      <c r="E374" s="4"/>
      <c r="F374" s="8"/>
      <c r="G374" s="62"/>
      <c r="H374" s="4"/>
      <c r="I374" s="62"/>
      <c r="J374" s="4"/>
      <c r="K374" s="62"/>
      <c r="L374" s="4"/>
      <c r="M374" s="62"/>
      <c r="N374" s="4"/>
      <c r="O374" s="4"/>
    </row>
    <row r="375" spans="2:15" x14ac:dyDescent="0.25">
      <c r="B375" s="43"/>
      <c r="C375" s="39"/>
      <c r="D375" s="4"/>
      <c r="E375" s="4"/>
      <c r="F375" s="8"/>
      <c r="G375" s="62"/>
      <c r="H375" s="4"/>
      <c r="I375" s="62"/>
      <c r="J375" s="4"/>
      <c r="K375" s="62"/>
      <c r="L375" s="4"/>
      <c r="M375" s="62"/>
      <c r="N375" s="4"/>
      <c r="O375" s="4"/>
    </row>
    <row r="376" spans="2:15" x14ac:dyDescent="0.25">
      <c r="B376" s="43"/>
      <c r="C376" s="39"/>
      <c r="D376" s="4"/>
      <c r="E376" s="4"/>
      <c r="F376" s="8"/>
      <c r="G376" s="62"/>
      <c r="H376" s="4"/>
      <c r="I376" s="62"/>
      <c r="J376" s="4"/>
      <c r="K376" s="62"/>
      <c r="L376" s="4"/>
      <c r="M376" s="62"/>
      <c r="N376" s="4"/>
      <c r="O376" s="4"/>
    </row>
    <row r="377" spans="2:15" x14ac:dyDescent="0.25">
      <c r="B377" s="43"/>
      <c r="C377" s="39"/>
      <c r="D377" s="4"/>
      <c r="E377" s="4"/>
      <c r="F377" s="8"/>
      <c r="G377" s="62"/>
      <c r="H377" s="4"/>
      <c r="I377" s="62"/>
      <c r="J377" s="4"/>
      <c r="K377" s="62"/>
      <c r="L377" s="4"/>
      <c r="M377" s="62"/>
      <c r="N377" s="4"/>
      <c r="O377" s="4"/>
    </row>
    <row r="378" spans="2:15" x14ac:dyDescent="0.25">
      <c r="B378" s="43"/>
      <c r="C378" s="39"/>
      <c r="D378" s="4"/>
      <c r="E378" s="4"/>
      <c r="F378" s="8"/>
      <c r="G378" s="62"/>
      <c r="H378" s="4"/>
      <c r="I378" s="62"/>
      <c r="J378" s="4"/>
      <c r="K378" s="62"/>
      <c r="L378" s="4"/>
      <c r="M378" s="62"/>
      <c r="N378" s="4"/>
      <c r="O378" s="4"/>
    </row>
    <row r="379" spans="2:15" x14ac:dyDescent="0.25">
      <c r="B379" s="43"/>
      <c r="C379" s="39"/>
      <c r="D379" s="4"/>
      <c r="E379" s="4"/>
      <c r="F379" s="8"/>
      <c r="G379" s="62"/>
      <c r="H379" s="4"/>
      <c r="I379" s="62"/>
      <c r="J379" s="4"/>
      <c r="K379" s="62"/>
      <c r="L379" s="4"/>
      <c r="M379" s="62"/>
      <c r="N379" s="4"/>
      <c r="O379" s="4"/>
    </row>
    <row r="380" spans="2:15" x14ac:dyDescent="0.25">
      <c r="B380" s="43"/>
      <c r="C380" s="39"/>
      <c r="D380" s="4"/>
      <c r="E380" s="4"/>
      <c r="F380" s="8"/>
      <c r="G380" s="62"/>
      <c r="H380" s="4"/>
      <c r="I380" s="62"/>
      <c r="J380" s="4"/>
      <c r="K380" s="62"/>
      <c r="L380" s="4"/>
      <c r="M380" s="62"/>
      <c r="N380" s="4"/>
      <c r="O380" s="4"/>
    </row>
    <row r="381" spans="2:15" x14ac:dyDescent="0.25">
      <c r="B381" s="43"/>
      <c r="C381" s="39"/>
      <c r="D381" s="4"/>
      <c r="E381" s="4"/>
      <c r="F381" s="8"/>
      <c r="G381" s="62"/>
      <c r="H381" s="4"/>
      <c r="I381" s="62"/>
      <c r="J381" s="4"/>
      <c r="K381" s="62"/>
      <c r="L381" s="4"/>
      <c r="M381" s="62"/>
      <c r="N381" s="4"/>
      <c r="O381" s="4"/>
    </row>
    <row r="382" spans="2:15" x14ac:dyDescent="0.25">
      <c r="B382" s="43"/>
      <c r="C382" s="39"/>
      <c r="D382" s="4"/>
      <c r="E382" s="4"/>
      <c r="F382" s="8"/>
      <c r="G382" s="62"/>
      <c r="H382" s="4"/>
      <c r="I382" s="62"/>
      <c r="J382" s="4"/>
      <c r="K382" s="62"/>
      <c r="L382" s="4"/>
      <c r="M382" s="62"/>
      <c r="N382" s="4"/>
      <c r="O382" s="4"/>
    </row>
    <row r="383" spans="2:15" x14ac:dyDescent="0.25">
      <c r="B383" s="43"/>
      <c r="C383" s="4"/>
      <c r="D383" s="70"/>
      <c r="E383" s="70"/>
      <c r="F383" s="8"/>
      <c r="G383" s="62"/>
      <c r="H383" s="4"/>
      <c r="I383" s="62"/>
      <c r="J383" s="4"/>
      <c r="K383" s="62"/>
      <c r="L383" s="4"/>
      <c r="M383" s="62"/>
      <c r="N383" s="4"/>
      <c r="O383" s="4"/>
    </row>
    <row r="384" spans="2:15" x14ac:dyDescent="0.25">
      <c r="B384" s="43"/>
      <c r="C384" s="4"/>
      <c r="D384" s="4"/>
      <c r="E384" s="4"/>
      <c r="F384" s="15"/>
      <c r="G384" s="73"/>
      <c r="H384" s="15"/>
      <c r="I384" s="64"/>
      <c r="J384" s="17"/>
      <c r="K384" s="62"/>
      <c r="L384" s="4"/>
      <c r="M384" s="62"/>
      <c r="N384" s="4"/>
      <c r="O384" s="4"/>
    </row>
    <row r="385" spans="2:15" s="48" customFormat="1" x14ac:dyDescent="0.25">
      <c r="B385" s="43"/>
      <c r="C385" s="44"/>
      <c r="D385" s="44"/>
      <c r="E385" s="44"/>
      <c r="F385" s="46"/>
      <c r="G385" s="60"/>
      <c r="H385" s="44"/>
      <c r="I385" s="60"/>
      <c r="J385" s="44"/>
      <c r="K385" s="60"/>
      <c r="L385" s="44"/>
      <c r="M385" s="60"/>
      <c r="N385" s="44"/>
      <c r="O385" s="44"/>
    </row>
    <row r="386" spans="2:15" s="48" customFormat="1" x14ac:dyDescent="0.25">
      <c r="B386" s="43"/>
      <c r="C386" s="44"/>
      <c r="D386" s="44"/>
      <c r="E386" s="44"/>
      <c r="F386" s="46"/>
      <c r="G386" s="60"/>
      <c r="H386" s="44"/>
      <c r="I386" s="60"/>
      <c r="J386" s="44"/>
      <c r="K386" s="60"/>
      <c r="L386" s="44"/>
      <c r="M386" s="60"/>
      <c r="N386" s="44"/>
      <c r="O386" s="44"/>
    </row>
    <row r="387" spans="2:15" s="48" customFormat="1" x14ac:dyDescent="0.25">
      <c r="B387" s="43"/>
      <c r="C387" s="44"/>
      <c r="D387" s="44"/>
      <c r="E387" s="44"/>
      <c r="F387" s="46"/>
      <c r="G387" s="60"/>
      <c r="H387" s="44"/>
      <c r="I387" s="60"/>
      <c r="J387" s="44"/>
      <c r="K387" s="60"/>
      <c r="L387" s="44"/>
      <c r="M387" s="60"/>
      <c r="N387" s="44"/>
      <c r="O387" s="44"/>
    </row>
    <row r="388" spans="2:15" s="48" customFormat="1" x14ac:dyDescent="0.25">
      <c r="B388" s="43"/>
      <c r="C388" s="44"/>
      <c r="D388" s="44"/>
      <c r="E388" s="44"/>
      <c r="F388" s="46"/>
      <c r="G388" s="60"/>
      <c r="H388" s="44"/>
      <c r="I388" s="60"/>
      <c r="J388" s="44"/>
      <c r="K388" s="60"/>
      <c r="L388" s="44"/>
      <c r="M388" s="60"/>
      <c r="N388" s="44"/>
      <c r="O388" s="44"/>
    </row>
    <row r="389" spans="2:15" s="48" customFormat="1" x14ac:dyDescent="0.25">
      <c r="B389" s="43"/>
      <c r="C389" s="44"/>
      <c r="D389" s="44"/>
      <c r="E389" s="44"/>
      <c r="F389" s="46"/>
      <c r="G389" s="60"/>
      <c r="H389" s="44"/>
      <c r="I389" s="60"/>
      <c r="J389" s="44"/>
      <c r="K389" s="60"/>
      <c r="L389" s="44"/>
      <c r="M389" s="60"/>
      <c r="N389" s="44"/>
      <c r="O389" s="44"/>
    </row>
    <row r="390" spans="2:15" x14ac:dyDescent="0.25">
      <c r="B390" s="43"/>
      <c r="C390" s="4"/>
      <c r="D390" s="4"/>
      <c r="E390" s="4"/>
      <c r="F390" s="17"/>
      <c r="G390" s="62"/>
      <c r="H390" s="4"/>
      <c r="I390" s="62"/>
      <c r="J390" s="4"/>
      <c r="K390" s="62"/>
      <c r="L390" s="4"/>
      <c r="M390" s="62"/>
      <c r="N390" s="4"/>
      <c r="O390" s="4"/>
    </row>
    <row r="391" spans="2:15" x14ac:dyDescent="0.25">
      <c r="B391" s="43"/>
      <c r="C391" s="4"/>
      <c r="D391" s="4"/>
      <c r="E391" s="4"/>
      <c r="F391" s="17"/>
      <c r="G391" s="62"/>
      <c r="H391" s="4"/>
      <c r="I391" s="62"/>
      <c r="J391" s="4"/>
      <c r="K391" s="62"/>
      <c r="L391" s="4"/>
      <c r="M391" s="62"/>
      <c r="N391" s="4"/>
      <c r="O391" s="4"/>
    </row>
    <row r="392" spans="2:15" x14ac:dyDescent="0.25">
      <c r="B392" s="43"/>
      <c r="C392" s="4"/>
      <c r="D392" s="4"/>
      <c r="E392" s="4"/>
      <c r="F392" s="17"/>
      <c r="G392" s="62"/>
      <c r="H392" s="4"/>
      <c r="I392" s="62"/>
      <c r="J392" s="4"/>
      <c r="K392" s="62"/>
      <c r="L392" s="4"/>
      <c r="M392" s="62"/>
      <c r="N392" s="4"/>
      <c r="O392" s="4"/>
    </row>
    <row r="393" spans="2:15" x14ac:dyDescent="0.25">
      <c r="B393" s="43"/>
      <c r="C393" s="4"/>
      <c r="D393" s="4"/>
      <c r="E393" s="4"/>
      <c r="F393" s="17"/>
      <c r="G393" s="62"/>
      <c r="H393" s="4"/>
      <c r="I393" s="62"/>
      <c r="J393" s="4"/>
      <c r="K393" s="62"/>
      <c r="L393" s="4"/>
      <c r="M393" s="62"/>
      <c r="N393" s="4"/>
      <c r="O393" s="4"/>
    </row>
    <row r="394" spans="2:15" x14ac:dyDescent="0.25">
      <c r="B394" s="43"/>
      <c r="C394" s="4"/>
      <c r="D394" s="4"/>
      <c r="E394" s="4"/>
      <c r="F394" s="17"/>
      <c r="G394" s="62"/>
      <c r="H394" s="4"/>
      <c r="I394" s="62"/>
      <c r="J394" s="4"/>
      <c r="K394" s="62"/>
      <c r="L394" s="4"/>
      <c r="M394" s="62"/>
      <c r="N394" s="4"/>
      <c r="O394" s="4"/>
    </row>
    <row r="395" spans="2:15" x14ac:dyDescent="0.25">
      <c r="B395" s="43"/>
      <c r="C395" s="4"/>
      <c r="D395" s="4"/>
      <c r="E395" s="4"/>
      <c r="F395" s="17"/>
      <c r="G395" s="62"/>
      <c r="H395" s="4"/>
      <c r="I395" s="62"/>
      <c r="J395" s="4"/>
      <c r="K395" s="62"/>
      <c r="L395" s="4"/>
      <c r="M395" s="62"/>
      <c r="N395" s="4"/>
      <c r="O395" s="4"/>
    </row>
    <row r="396" spans="2:15" x14ac:dyDescent="0.25">
      <c r="B396" s="43"/>
      <c r="C396" s="4"/>
      <c r="D396" s="4"/>
      <c r="E396" s="4"/>
      <c r="F396" s="17"/>
      <c r="G396" s="62"/>
      <c r="H396" s="4"/>
      <c r="I396" s="62"/>
      <c r="J396" s="4"/>
      <c r="K396" s="62"/>
      <c r="L396" s="4"/>
      <c r="M396" s="62"/>
      <c r="N396" s="4"/>
      <c r="O396" s="4"/>
    </row>
    <row r="397" spans="2:15" x14ac:dyDescent="0.25">
      <c r="B397" s="43"/>
      <c r="C397" s="4"/>
      <c r="D397" s="4"/>
      <c r="E397" s="4"/>
      <c r="F397" s="17"/>
      <c r="G397" s="62"/>
      <c r="H397" s="4"/>
      <c r="I397" s="62"/>
      <c r="J397" s="4"/>
      <c r="K397" s="62"/>
      <c r="L397" s="4"/>
      <c r="M397" s="62"/>
      <c r="N397" s="4"/>
      <c r="O397" s="4"/>
    </row>
    <row r="398" spans="2:15" x14ac:dyDescent="0.25">
      <c r="B398" s="43"/>
      <c r="C398" s="4"/>
      <c r="D398" s="4"/>
      <c r="E398" s="4"/>
      <c r="F398" s="17"/>
      <c r="G398" s="62"/>
      <c r="H398" s="4"/>
      <c r="I398" s="62"/>
      <c r="J398" s="4"/>
      <c r="K398" s="62"/>
      <c r="L398" s="4"/>
      <c r="M398" s="62"/>
      <c r="N398" s="4"/>
      <c r="O398" s="4"/>
    </row>
    <row r="399" spans="2:15" x14ac:dyDescent="0.25">
      <c r="B399" s="43"/>
      <c r="C399" s="4"/>
      <c r="D399" s="4"/>
      <c r="E399" s="4"/>
      <c r="F399" s="17"/>
      <c r="G399" s="62"/>
      <c r="H399" s="4"/>
      <c r="I399" s="62"/>
      <c r="J399" s="4"/>
      <c r="K399" s="62"/>
      <c r="L399" s="4"/>
      <c r="M399" s="62"/>
      <c r="N399" s="4"/>
      <c r="O399" s="4"/>
    </row>
    <row r="400" spans="2:15" x14ac:dyDescent="0.25">
      <c r="B400" s="43"/>
      <c r="C400" s="4"/>
      <c r="D400" s="4"/>
      <c r="E400" s="4"/>
      <c r="F400" s="17"/>
      <c r="G400" s="62"/>
      <c r="H400" s="4"/>
      <c r="I400" s="62"/>
      <c r="J400" s="4"/>
      <c r="K400" s="62"/>
      <c r="L400" s="4"/>
      <c r="M400" s="62"/>
      <c r="N400" s="4"/>
      <c r="O400" s="4"/>
    </row>
    <row r="401" spans="2:15" x14ac:dyDescent="0.25">
      <c r="B401" s="43"/>
      <c r="C401" s="4"/>
      <c r="D401" s="4"/>
      <c r="E401" s="4"/>
      <c r="F401" s="17"/>
      <c r="G401" s="62"/>
      <c r="H401" s="4"/>
      <c r="I401" s="62"/>
      <c r="J401" s="4"/>
      <c r="K401" s="62"/>
      <c r="L401" s="4"/>
      <c r="M401" s="62"/>
      <c r="N401" s="4"/>
      <c r="O401" s="4"/>
    </row>
    <row r="402" spans="2:15" x14ac:dyDescent="0.25">
      <c r="B402" s="43"/>
      <c r="C402" s="4"/>
      <c r="D402" s="4"/>
      <c r="E402" s="4"/>
      <c r="F402" s="17"/>
      <c r="G402" s="62"/>
      <c r="H402" s="4"/>
      <c r="I402" s="62"/>
      <c r="J402" s="4"/>
      <c r="K402" s="62"/>
      <c r="L402" s="4"/>
      <c r="M402" s="62"/>
      <c r="N402" s="4"/>
      <c r="O402" s="4"/>
    </row>
    <row r="403" spans="2:15" x14ac:dyDescent="0.25">
      <c r="B403" s="43"/>
      <c r="C403" s="4"/>
      <c r="D403" s="4"/>
      <c r="E403" s="4"/>
      <c r="F403" s="17"/>
      <c r="G403" s="62"/>
      <c r="H403" s="4"/>
      <c r="I403" s="62"/>
      <c r="J403" s="4"/>
      <c r="K403" s="62"/>
      <c r="L403" s="4"/>
      <c r="M403" s="62"/>
      <c r="N403" s="4"/>
      <c r="O403" s="4"/>
    </row>
    <row r="404" spans="2:15" x14ac:dyDescent="0.25">
      <c r="B404" s="43"/>
      <c r="C404" s="4"/>
      <c r="D404" s="4"/>
      <c r="E404" s="4"/>
      <c r="F404" s="17"/>
      <c r="G404" s="62"/>
      <c r="H404" s="4"/>
      <c r="I404" s="62"/>
      <c r="J404" s="4"/>
      <c r="K404" s="62"/>
      <c r="L404" s="4"/>
      <c r="M404" s="62"/>
      <c r="N404" s="4"/>
      <c r="O404" s="4"/>
    </row>
    <row r="405" spans="2:15" x14ac:dyDescent="0.25">
      <c r="B405" s="43"/>
      <c r="C405" s="4"/>
      <c r="D405" s="4"/>
      <c r="E405" s="4"/>
      <c r="F405" s="17"/>
      <c r="G405" s="62"/>
      <c r="H405" s="4"/>
      <c r="I405" s="62"/>
      <c r="J405" s="4"/>
      <c r="K405" s="62"/>
      <c r="L405" s="4"/>
      <c r="M405" s="62"/>
      <c r="N405" s="4"/>
      <c r="O405" s="4"/>
    </row>
    <row r="406" spans="2:15" x14ac:dyDescent="0.25">
      <c r="B406" s="43"/>
      <c r="C406" s="4"/>
      <c r="D406" s="4"/>
      <c r="E406" s="4"/>
      <c r="F406" s="17"/>
      <c r="G406" s="62"/>
      <c r="H406" s="4"/>
      <c r="I406" s="62"/>
      <c r="J406" s="4"/>
      <c r="K406" s="62"/>
      <c r="L406" s="4"/>
      <c r="M406" s="62"/>
      <c r="N406" s="4"/>
      <c r="O406" s="4"/>
    </row>
    <row r="407" spans="2:15" x14ac:dyDescent="0.25">
      <c r="B407" s="43"/>
      <c r="C407" s="4"/>
      <c r="D407" s="4"/>
      <c r="E407" s="4"/>
      <c r="F407" s="17"/>
      <c r="G407" s="62"/>
      <c r="H407" s="4"/>
      <c r="I407" s="62"/>
      <c r="J407" s="4"/>
      <c r="K407" s="62"/>
      <c r="L407" s="4"/>
      <c r="M407" s="62"/>
      <c r="N407" s="4"/>
      <c r="O407" s="4"/>
    </row>
    <row r="408" spans="2:15" x14ac:dyDescent="0.25">
      <c r="B408" s="43"/>
      <c r="C408" s="4"/>
      <c r="D408" s="4"/>
      <c r="E408" s="4"/>
      <c r="F408" s="17"/>
      <c r="G408" s="62"/>
      <c r="H408" s="4"/>
      <c r="I408" s="62"/>
      <c r="J408" s="4"/>
      <c r="K408" s="62"/>
      <c r="L408" s="4"/>
      <c r="M408" s="62"/>
      <c r="N408" s="4"/>
      <c r="O408" s="4"/>
    </row>
    <row r="409" spans="2:15" x14ac:dyDescent="0.25">
      <c r="B409" s="43"/>
      <c r="C409" s="4"/>
      <c r="D409" s="4"/>
      <c r="E409" s="4"/>
      <c r="F409" s="17"/>
      <c r="G409" s="62"/>
      <c r="H409" s="4"/>
      <c r="I409" s="62"/>
      <c r="J409" s="4"/>
      <c r="K409" s="62"/>
      <c r="L409" s="4"/>
      <c r="M409" s="62"/>
      <c r="N409" s="4"/>
      <c r="O409" s="4"/>
    </row>
    <row r="410" spans="2:15" x14ac:dyDescent="0.25">
      <c r="B410" s="43"/>
      <c r="C410" s="4"/>
      <c r="D410" s="4"/>
      <c r="E410" s="4"/>
      <c r="F410" s="17"/>
      <c r="G410" s="62"/>
      <c r="H410" s="4"/>
      <c r="I410" s="62"/>
      <c r="J410" s="4"/>
      <c r="K410" s="62"/>
      <c r="L410" s="4"/>
      <c r="M410" s="62"/>
      <c r="N410" s="4"/>
      <c r="O410" s="4"/>
    </row>
    <row r="411" spans="2:15" x14ac:dyDescent="0.25">
      <c r="B411" s="43"/>
      <c r="C411" s="4"/>
      <c r="D411" s="4"/>
      <c r="E411" s="4"/>
      <c r="F411" s="17"/>
      <c r="G411" s="62"/>
      <c r="H411" s="4"/>
      <c r="I411" s="62"/>
      <c r="J411" s="4"/>
      <c r="K411" s="62"/>
      <c r="L411" s="4"/>
      <c r="M411" s="62"/>
      <c r="N411" s="4"/>
      <c r="O411" s="4"/>
    </row>
    <row r="412" spans="2:15" x14ac:dyDescent="0.25">
      <c r="B412" s="43"/>
      <c r="C412" s="4"/>
      <c r="D412" s="4"/>
      <c r="E412" s="4"/>
      <c r="F412" s="17"/>
      <c r="G412" s="62"/>
      <c r="H412" s="4"/>
      <c r="I412" s="62"/>
      <c r="J412" s="4"/>
      <c r="K412" s="62"/>
      <c r="L412" s="4"/>
      <c r="M412" s="62"/>
      <c r="N412" s="4"/>
      <c r="O412" s="4"/>
    </row>
    <row r="413" spans="2:15" x14ac:dyDescent="0.25">
      <c r="B413" s="43"/>
      <c r="C413" s="4"/>
      <c r="D413" s="4"/>
      <c r="E413" s="4"/>
      <c r="F413" s="17"/>
      <c r="G413" s="62"/>
      <c r="H413" s="4"/>
      <c r="I413" s="62"/>
      <c r="J413" s="4"/>
      <c r="K413" s="62"/>
      <c r="L413" s="4"/>
      <c r="M413" s="62"/>
      <c r="N413" s="4"/>
      <c r="O413" s="4"/>
    </row>
    <row r="414" spans="2:15" x14ac:dyDescent="0.25">
      <c r="B414" s="43"/>
      <c r="C414" s="4"/>
      <c r="D414" s="4"/>
      <c r="E414" s="4"/>
      <c r="F414" s="17"/>
      <c r="G414" s="62"/>
      <c r="H414" s="4"/>
      <c r="I414" s="62"/>
      <c r="J414" s="4"/>
      <c r="K414" s="62"/>
      <c r="L414" s="4"/>
      <c r="M414" s="62"/>
      <c r="N414" s="4"/>
      <c r="O414" s="4"/>
    </row>
    <row r="415" spans="2:15" x14ac:dyDescent="0.25">
      <c r="B415" s="43"/>
      <c r="C415" s="4"/>
      <c r="D415" s="4"/>
      <c r="E415" s="4"/>
      <c r="F415" s="17"/>
      <c r="G415" s="62"/>
      <c r="H415" s="4"/>
      <c r="I415" s="62"/>
      <c r="J415" s="4"/>
      <c r="K415" s="62"/>
      <c r="L415" s="4"/>
      <c r="M415" s="62"/>
      <c r="N415" s="4"/>
      <c r="O415" s="4"/>
    </row>
    <row r="416" spans="2:15" x14ac:dyDescent="0.25">
      <c r="B416" s="43"/>
      <c r="C416" s="4"/>
      <c r="D416" s="4"/>
      <c r="E416" s="4"/>
      <c r="F416" s="17"/>
      <c r="G416" s="62"/>
      <c r="H416" s="4"/>
      <c r="I416" s="62"/>
      <c r="J416" s="4"/>
      <c r="K416" s="62"/>
      <c r="L416" s="4"/>
      <c r="M416" s="62"/>
      <c r="N416" s="4"/>
      <c r="O416" s="4"/>
    </row>
    <row r="417" spans="2:15" x14ac:dyDescent="0.25">
      <c r="B417" s="43"/>
      <c r="C417" s="4"/>
      <c r="D417" s="4"/>
      <c r="E417" s="4"/>
      <c r="F417" s="17"/>
      <c r="G417" s="62"/>
      <c r="H417" s="4"/>
      <c r="I417" s="62"/>
      <c r="J417" s="4"/>
      <c r="K417" s="62"/>
      <c r="L417" s="4"/>
      <c r="M417" s="62"/>
      <c r="N417" s="4"/>
      <c r="O417" s="4"/>
    </row>
    <row r="418" spans="2:15" x14ac:dyDescent="0.25">
      <c r="B418" s="43"/>
      <c r="C418" s="4"/>
      <c r="D418" s="4"/>
      <c r="E418" s="4"/>
      <c r="F418" s="17"/>
      <c r="G418" s="62"/>
      <c r="H418" s="4"/>
      <c r="I418" s="62"/>
      <c r="J418" s="4"/>
      <c r="K418" s="62"/>
      <c r="L418" s="4"/>
      <c r="M418" s="62"/>
      <c r="N418" s="4"/>
      <c r="O418" s="4"/>
    </row>
    <row r="419" spans="2:15" x14ac:dyDescent="0.25">
      <c r="B419" s="43"/>
      <c r="C419" s="4"/>
      <c r="D419" s="4"/>
      <c r="E419" s="4"/>
      <c r="F419" s="17"/>
      <c r="G419" s="62"/>
      <c r="H419" s="4"/>
      <c r="I419" s="62"/>
      <c r="J419" s="4"/>
      <c r="K419" s="62"/>
      <c r="L419" s="4"/>
      <c r="M419" s="62"/>
      <c r="N419" s="4"/>
      <c r="O419" s="4"/>
    </row>
    <row r="420" spans="2:15" x14ac:dyDescent="0.25">
      <c r="B420" s="43"/>
      <c r="C420" s="4"/>
      <c r="D420" s="4"/>
      <c r="E420" s="4"/>
      <c r="F420" s="17"/>
      <c r="G420" s="62"/>
      <c r="H420" s="4"/>
      <c r="I420" s="62"/>
      <c r="J420" s="4"/>
      <c r="K420" s="62"/>
      <c r="L420" s="4"/>
      <c r="M420" s="62"/>
      <c r="N420" s="4"/>
      <c r="O420" s="4"/>
    </row>
    <row r="421" spans="2:15" x14ac:dyDescent="0.25">
      <c r="B421" s="43"/>
      <c r="C421" s="4"/>
      <c r="D421" s="4"/>
      <c r="E421" s="4"/>
      <c r="F421" s="17"/>
      <c r="G421" s="62"/>
      <c r="H421" s="4"/>
      <c r="I421" s="62"/>
      <c r="J421" s="4"/>
      <c r="K421" s="62"/>
      <c r="L421" s="4"/>
      <c r="M421" s="62"/>
      <c r="N421" s="4"/>
      <c r="O421" s="4"/>
    </row>
  </sheetData>
  <mergeCells count="9">
    <mergeCell ref="L3:M3"/>
    <mergeCell ref="N3:O3"/>
    <mergeCell ref="E3:E4"/>
    <mergeCell ref="B3:B4"/>
    <mergeCell ref="C3:C4"/>
    <mergeCell ref="D3:D4"/>
    <mergeCell ref="F3:G3"/>
    <mergeCell ref="H3:I3"/>
    <mergeCell ref="J3:K3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SBY</vt:lpstr>
      <vt:lpstr>LIST BARANG</vt:lpstr>
      <vt:lpstr>Sheet1</vt:lpstr>
      <vt:lpstr>PRINT BUAT KA FINA</vt:lpstr>
      <vt:lpstr>LIST BARANG (NEW)</vt:lpstr>
      <vt:lpstr>SBY!Print_Area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Afifah Amaliasari</dc:creator>
  <cp:lastModifiedBy>Lukman Nurhakim</cp:lastModifiedBy>
  <cp:lastPrinted>2025-08-13T09:36:31Z</cp:lastPrinted>
  <dcterms:created xsi:type="dcterms:W3CDTF">2025-05-13T06:20:47Z</dcterms:created>
  <dcterms:modified xsi:type="dcterms:W3CDTF">2026-04-07T04:32:03Z</dcterms:modified>
</cp:coreProperties>
</file>